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\Desktop\UMass Sem II\633 F&amp;MA\Financail Reporting Project\"/>
    </mc:Choice>
  </mc:AlternateContent>
  <xr:revisionPtr revIDLastSave="0" documentId="13_ncr:1_{A14A443A-C0DF-4E22-B08F-588573FDD91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RP #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6" i="1" l="1"/>
  <c r="H66" i="1"/>
  <c r="G66" i="1"/>
  <c r="D66" i="1"/>
  <c r="C66" i="1"/>
  <c r="B66" i="1"/>
  <c r="I57" i="1"/>
  <c r="I59" i="1" s="1"/>
  <c r="H57" i="1"/>
  <c r="H59" i="1" s="1"/>
  <c r="G57" i="1"/>
  <c r="G59" i="1" s="1"/>
  <c r="D57" i="1"/>
  <c r="D59" i="1" s="1"/>
  <c r="C57" i="1"/>
  <c r="C59" i="1" s="1"/>
  <c r="B57" i="1"/>
  <c r="B59" i="1" s="1"/>
  <c r="I53" i="1"/>
  <c r="H53" i="1"/>
  <c r="G53" i="1"/>
  <c r="D52" i="1"/>
  <c r="D53" i="1" s="1"/>
  <c r="C52" i="1"/>
  <c r="C53" i="1" s="1"/>
  <c r="B52" i="1"/>
  <c r="B53" i="1" s="1"/>
  <c r="I47" i="1"/>
  <c r="H47" i="1"/>
  <c r="G47" i="1"/>
  <c r="C47" i="1"/>
  <c r="D47" i="1"/>
  <c r="B47" i="1"/>
  <c r="D46" i="1"/>
  <c r="C46" i="1"/>
  <c r="B46" i="1"/>
  <c r="H41" i="1"/>
  <c r="I41" i="1"/>
  <c r="G41" i="1"/>
  <c r="C41" i="1"/>
  <c r="D41" i="1"/>
  <c r="B41" i="1"/>
  <c r="H35" i="1"/>
  <c r="I35" i="1"/>
  <c r="G35" i="1"/>
  <c r="C35" i="1"/>
  <c r="D35" i="1"/>
  <c r="B35" i="1"/>
  <c r="I33" i="1"/>
  <c r="H33" i="1"/>
  <c r="G33" i="1"/>
  <c r="D33" i="1"/>
  <c r="C33" i="1"/>
  <c r="B33" i="1"/>
  <c r="I27" i="1"/>
  <c r="H27" i="1"/>
  <c r="G27" i="1"/>
  <c r="D27" i="1"/>
  <c r="D26" i="1"/>
  <c r="D25" i="1"/>
  <c r="D24" i="1"/>
  <c r="C27" i="1"/>
  <c r="C26" i="1"/>
  <c r="C25" i="1"/>
  <c r="C24" i="1"/>
  <c r="B27" i="1"/>
  <c r="B26" i="1"/>
  <c r="B25" i="1"/>
  <c r="B24" i="1"/>
  <c r="D20" i="1"/>
  <c r="C20" i="1"/>
  <c r="B20" i="1"/>
  <c r="I16" i="1" l="1"/>
  <c r="H16" i="1"/>
  <c r="G16" i="1"/>
  <c r="D16" i="1"/>
  <c r="C16" i="1"/>
  <c r="B16" i="1"/>
  <c r="I10" i="1"/>
  <c r="H10" i="1"/>
  <c r="G10" i="1"/>
  <c r="D10" i="1"/>
  <c r="C10" i="1"/>
  <c r="B10" i="1"/>
</calcChain>
</file>

<file path=xl/sharedStrings.xml><?xml version="1.0" encoding="utf-8"?>
<sst xmlns="http://schemas.openxmlformats.org/spreadsheetml/2006/main" count="94" uniqueCount="40">
  <si>
    <t>1. Compute Return on Equity</t>
  </si>
  <si>
    <t>2. Compute Return on Assets</t>
  </si>
  <si>
    <t>Operating Expense Margin</t>
  </si>
  <si>
    <t>Profit margin</t>
  </si>
  <si>
    <t>Total liabilities-to-equity</t>
  </si>
  <si>
    <t>Times interest earned</t>
  </si>
  <si>
    <t>Total Stockholders' Equity</t>
  </si>
  <si>
    <t>Net Income</t>
  </si>
  <si>
    <t>Return of Equity</t>
  </si>
  <si>
    <t>Total Assets</t>
  </si>
  <si>
    <t>Return on Assets</t>
  </si>
  <si>
    <t xml:space="preserve">Inventory Turnover </t>
  </si>
  <si>
    <t>Accounts Payable Turnover</t>
  </si>
  <si>
    <t>Which company appears to be doing better for 2023?  Use the 2023/2022 Annual Report for both and using pages 4-13 and 4-14 (Exhibit 4.4) of Module 4, do so as follows:</t>
  </si>
  <si>
    <t xml:space="preserve">   3. Compute A/R Turnover </t>
  </si>
  <si>
    <t xml:space="preserve">   4. What is the Cash Conversion Cycle?</t>
  </si>
  <si>
    <t xml:space="preserve">   5. Pick two ratios from each section of Exhibit 4.4 of your Module 4 chapter, Profitability, Productivity, and Financial Leverage (there are only two here).</t>
  </si>
  <si>
    <t xml:space="preserve">   6. Using the informaiton above, write up a brief explanation on which company is doing better based on your anaylsis.</t>
  </si>
  <si>
    <t>Macy's:</t>
  </si>
  <si>
    <t>Kohl's</t>
  </si>
  <si>
    <t xml:space="preserve">       Examples below:</t>
  </si>
  <si>
    <t>NAME: Samarth Naik</t>
  </si>
  <si>
    <t>A.R Turnover</t>
  </si>
  <si>
    <t>DIO</t>
  </si>
  <si>
    <t>DSO</t>
  </si>
  <si>
    <t>DPO</t>
  </si>
  <si>
    <t>CCC</t>
  </si>
  <si>
    <t>Total Operating Expense(in millions)</t>
  </si>
  <si>
    <t>Total Revenue(in millions)</t>
  </si>
  <si>
    <t>Profit Margin</t>
  </si>
  <si>
    <t>Total Revenue</t>
  </si>
  <si>
    <t>Total Operating Expense(in M $)</t>
  </si>
  <si>
    <t>COGS(in M $)</t>
  </si>
  <si>
    <t>Avg Inventory(in M $)</t>
  </si>
  <si>
    <t>Avg Accounts Payable(in M $)</t>
  </si>
  <si>
    <t>Total Liabilities(in M $)</t>
  </si>
  <si>
    <t>Total Equity(in M $)</t>
  </si>
  <si>
    <t>EBIT ​(in M $)</t>
  </si>
  <si>
    <t>Interest Expense(in M $)</t>
  </si>
  <si>
    <t>In 2023 , Kohl's outperform Macy's with higher profitability and better operational efficiency. Kohl's 4.24% ROE and 1.12% ROA significanlty exceeded Macy's 1.28% and 0.32% respectively. While its 1.91% profit margin was four times Macy's 0.45%. Kohl's also showed superior efficiency with faster receivables turnover and slightly better inventory management. Though Macy's had a quicker CCC and stringer interest coverage. Kohl's maintained a more conservative capital structure (2.60 vs. 2.93 debt-to-equity) and and tighter cost control (37.75% vs. 40.72% operating expenses). Overall, Kohl's demonstrated stronger financial performance across key metrics.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</si>
</sst>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.0_);_(* \(#,##0.0\);_(* &quot;-&quot;??_);_(@_)"/>
    <numFmt numFmtId="166" formatCode="_(* #,##0_);_(* \(#,##0\);_(* &quot;-&quot;??_);_(@_)"/>
  </numFmts>
  <fonts count="5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left" vertical="center" indent="1"/>
    </xf>
    <xf numFmtId="3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0" fontId="3" fillId="0" borderId="1" xfId="0" applyFont="1" applyBorder="1"/>
    <xf numFmtId="164" fontId="2" fillId="0" borderId="0" xfId="1" applyNumberFormat="1" applyFont="1"/>
    <xf numFmtId="0" fontId="0" fillId="0" borderId="0" xfId="0" applyAlignment="1">
      <alignment horizontal="left" wrapText="1"/>
    </xf>
    <xf numFmtId="0" fontId="2" fillId="0" borderId="1" xfId="0" applyFont="1" applyBorder="1"/>
    <xf numFmtId="0" fontId="2" fillId="0" borderId="0" xfId="0" applyFont="1"/>
    <xf numFmtId="0" fontId="0" fillId="0" borderId="0" xfId="0" applyAlignment="1">
      <alignment horizontal="left" vertical="center"/>
    </xf>
    <xf numFmtId="44" fontId="0" fillId="0" borderId="0" xfId="3" applyFont="1"/>
    <xf numFmtId="2" fontId="2" fillId="0" borderId="0" xfId="1" applyNumberFormat="1" applyFont="1"/>
    <xf numFmtId="43" fontId="2" fillId="0" borderId="0" xfId="2" applyFont="1"/>
    <xf numFmtId="2" fontId="2" fillId="0" borderId="0" xfId="3" applyNumberFormat="1" applyFont="1"/>
    <xf numFmtId="43" fontId="4" fillId="0" borderId="0" xfId="2" applyFont="1"/>
    <xf numFmtId="2" fontId="0" fillId="0" borderId="0" xfId="0" applyNumberFormat="1"/>
    <xf numFmtId="2" fontId="2" fillId="0" borderId="0" xfId="0" applyNumberFormat="1" applyFont="1"/>
    <xf numFmtId="165" fontId="4" fillId="0" borderId="0" xfId="2" applyNumberFormat="1" applyFont="1"/>
    <xf numFmtId="43" fontId="0" fillId="0" borderId="0" xfId="2" applyFont="1"/>
    <xf numFmtId="3" fontId="0" fillId="0" borderId="0" xfId="2" applyNumberFormat="1" applyFont="1"/>
    <xf numFmtId="166" fontId="0" fillId="0" borderId="0" xfId="2" applyNumberFormat="1" applyFont="1"/>
    <xf numFmtId="0" fontId="4" fillId="0" borderId="0" xfId="0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5"/>
  <sheetViews>
    <sheetView tabSelected="1" topLeftCell="A53" zoomScale="70" zoomScaleNormal="115" workbookViewId="0">
      <selection activeCell="A68" sqref="A68:K75"/>
    </sheetView>
  </sheetViews>
  <sheetFormatPr defaultRowHeight="15.5" x14ac:dyDescent="0.35"/>
  <cols>
    <col min="1" max="1" width="30.9140625" customWidth="1"/>
    <col min="2" max="4" width="18.25" bestFit="1" customWidth="1"/>
    <col min="5" max="5" width="2.58203125" customWidth="1"/>
    <col min="6" max="6" width="27.1640625" customWidth="1"/>
    <col min="7" max="9" width="18.25" bestFit="1" customWidth="1"/>
  </cols>
  <sheetData>
    <row r="1" spans="1:10" x14ac:dyDescent="0.35">
      <c r="A1" s="8" t="s">
        <v>21</v>
      </c>
    </row>
    <row r="2" spans="1:10" x14ac:dyDescent="0.35">
      <c r="A2" s="9"/>
    </row>
    <row r="3" spans="1:10" ht="15.75" customHeight="1" x14ac:dyDescent="0.35">
      <c r="A3" s="24" t="s">
        <v>13</v>
      </c>
      <c r="B3" s="24"/>
      <c r="C3" s="24"/>
      <c r="D3" s="24"/>
      <c r="E3" s="24"/>
      <c r="F3" s="24"/>
      <c r="G3" s="24"/>
      <c r="H3" s="24"/>
      <c r="I3" s="3"/>
      <c r="J3" s="3"/>
    </row>
    <row r="4" spans="1:10" x14ac:dyDescent="0.35">
      <c r="A4" s="24"/>
      <c r="B4" s="24"/>
      <c r="C4" s="24"/>
      <c r="D4" s="24"/>
      <c r="E4" s="24"/>
      <c r="F4" s="24"/>
      <c r="G4" s="24"/>
      <c r="H4" s="24"/>
      <c r="I4" s="3"/>
      <c r="J4" s="3"/>
    </row>
    <row r="5" spans="1:10" x14ac:dyDescent="0.35">
      <c r="A5" s="7"/>
      <c r="B5" s="7"/>
      <c r="C5" s="7"/>
      <c r="D5" s="7"/>
      <c r="E5" s="7"/>
      <c r="F5" s="7"/>
      <c r="G5" s="7"/>
      <c r="H5" s="7"/>
      <c r="I5" s="3"/>
      <c r="J5" s="3"/>
    </row>
    <row r="6" spans="1:10" x14ac:dyDescent="0.35">
      <c r="A6" s="1" t="s">
        <v>0</v>
      </c>
    </row>
    <row r="7" spans="1:10" x14ac:dyDescent="0.35">
      <c r="A7" s="4" t="s">
        <v>18</v>
      </c>
      <c r="B7" s="4">
        <v>2023</v>
      </c>
      <c r="C7" s="4">
        <v>2022</v>
      </c>
      <c r="D7" s="4">
        <v>2021</v>
      </c>
      <c r="E7" s="4"/>
      <c r="F7" s="4" t="s">
        <v>19</v>
      </c>
      <c r="G7" s="4">
        <v>2023</v>
      </c>
      <c r="H7" s="4">
        <v>2022</v>
      </c>
      <c r="I7" s="4">
        <v>2021</v>
      </c>
    </row>
    <row r="8" spans="1:10" x14ac:dyDescent="0.35">
      <c r="A8" t="s">
        <v>7</v>
      </c>
      <c r="B8" s="11">
        <v>105000000</v>
      </c>
      <c r="C8" s="11">
        <v>1177000000</v>
      </c>
      <c r="D8" s="11">
        <v>1430000000</v>
      </c>
      <c r="F8" t="s">
        <v>7</v>
      </c>
      <c r="G8" s="11">
        <v>317000000</v>
      </c>
      <c r="H8" s="11">
        <v>-19000000</v>
      </c>
      <c r="I8" s="11">
        <v>938000000</v>
      </c>
    </row>
    <row r="9" spans="1:10" x14ac:dyDescent="0.35">
      <c r="A9" t="s">
        <v>6</v>
      </c>
      <c r="B9" s="11">
        <v>4137000000</v>
      </c>
      <c r="C9" s="11">
        <v>4082000000</v>
      </c>
      <c r="D9" s="11">
        <v>3621000000</v>
      </c>
      <c r="F9" t="s">
        <v>6</v>
      </c>
      <c r="G9" s="11">
        <v>3893000000</v>
      </c>
      <c r="H9" s="11">
        <v>3763000000</v>
      </c>
      <c r="I9" s="11">
        <v>4661000000</v>
      </c>
    </row>
    <row r="10" spans="1:10" x14ac:dyDescent="0.35">
      <c r="A10" t="s">
        <v>8</v>
      </c>
      <c r="B10" s="6">
        <f>B8/((B9+C9)/2)</f>
        <v>2.5550553595327898E-2</v>
      </c>
      <c r="C10" s="6">
        <f>C8/((C9+D9)/2)</f>
        <v>0.30559522264052968</v>
      </c>
      <c r="D10" s="6">
        <f>D8/((D9+2553000000)/2)</f>
        <v>0.46323291221250407</v>
      </c>
      <c r="F10" t="s">
        <v>8</v>
      </c>
      <c r="G10" s="6">
        <f>G8/((G9+H9)/2)</f>
        <v>8.2810867293625912E-2</v>
      </c>
      <c r="H10" s="6">
        <f>H8/((H9+I9)/2)</f>
        <v>-4.5109211775878439E-3</v>
      </c>
      <c r="I10" s="6">
        <f>I8/((I9+5196000000)/2)</f>
        <v>0.19032159886375166</v>
      </c>
    </row>
    <row r="12" spans="1:10" x14ac:dyDescent="0.35">
      <c r="A12" s="1" t="s">
        <v>1</v>
      </c>
    </row>
    <row r="13" spans="1:10" x14ac:dyDescent="0.35">
      <c r="A13" s="4" t="s">
        <v>18</v>
      </c>
      <c r="B13" s="4">
        <v>2023</v>
      </c>
      <c r="C13" s="4">
        <v>2022</v>
      </c>
      <c r="D13" s="4">
        <v>2021</v>
      </c>
      <c r="E13" s="4"/>
      <c r="F13" s="4" t="s">
        <v>19</v>
      </c>
      <c r="G13" s="4">
        <v>2023</v>
      </c>
      <c r="H13" s="4">
        <v>2022</v>
      </c>
      <c r="I13" s="4">
        <v>2021</v>
      </c>
    </row>
    <row r="14" spans="1:10" x14ac:dyDescent="0.35">
      <c r="A14" t="s">
        <v>7</v>
      </c>
      <c r="B14" s="11">
        <v>105000000</v>
      </c>
      <c r="C14" s="11">
        <v>1177000000</v>
      </c>
      <c r="D14" s="11">
        <v>1430000000</v>
      </c>
      <c r="F14" t="s">
        <v>7</v>
      </c>
      <c r="G14" s="11">
        <v>317000000</v>
      </c>
      <c r="H14" s="11">
        <v>-19000000</v>
      </c>
      <c r="I14" s="11">
        <v>938000000</v>
      </c>
    </row>
    <row r="15" spans="1:10" x14ac:dyDescent="0.35">
      <c r="A15" t="s">
        <v>9</v>
      </c>
      <c r="B15" s="11">
        <v>16246000000</v>
      </c>
      <c r="C15" s="11">
        <v>16866000000</v>
      </c>
      <c r="D15" s="11">
        <v>17590000000</v>
      </c>
      <c r="F15" t="s">
        <v>9</v>
      </c>
      <c r="G15" s="11">
        <v>14009000000</v>
      </c>
      <c r="H15" s="11">
        <v>14345000000</v>
      </c>
      <c r="I15" s="11">
        <v>15054000000</v>
      </c>
    </row>
    <row r="16" spans="1:10" x14ac:dyDescent="0.35">
      <c r="A16" t="s">
        <v>10</v>
      </c>
      <c r="B16" s="6">
        <f>B14/((B15+C15)/2)</f>
        <v>6.3421116211645322E-3</v>
      </c>
      <c r="C16" s="6">
        <f>C14/((C15+D15)/2)</f>
        <v>6.8319015556071505E-2</v>
      </c>
      <c r="D16" s="6">
        <f>D14/((D15+17706000000)/2)</f>
        <v>8.102901178603808E-2</v>
      </c>
      <c r="F16" t="s">
        <v>10</v>
      </c>
      <c r="G16" s="6">
        <f>G14/((G15+H15)/2)</f>
        <v>2.2360160823869647E-2</v>
      </c>
      <c r="H16" s="6">
        <f>H14/((H15+I15)/2)</f>
        <v>-1.2925609714616144E-3</v>
      </c>
      <c r="I16" s="6">
        <f>I14/((I15+15337000000)/2)</f>
        <v>6.1728801289855549E-2</v>
      </c>
    </row>
    <row r="17" spans="1:9" x14ac:dyDescent="0.35">
      <c r="B17" s="6"/>
      <c r="G17" s="6"/>
    </row>
    <row r="18" spans="1:9" x14ac:dyDescent="0.35">
      <c r="A18" s="10" t="s">
        <v>14</v>
      </c>
      <c r="B18" s="6"/>
      <c r="G18" s="6"/>
    </row>
    <row r="19" spans="1:9" x14ac:dyDescent="0.35">
      <c r="A19" s="4" t="s">
        <v>18</v>
      </c>
      <c r="B19" s="4">
        <v>2023</v>
      </c>
      <c r="C19" s="4">
        <v>2022</v>
      </c>
      <c r="D19" s="4">
        <v>2021</v>
      </c>
      <c r="E19" s="4"/>
      <c r="F19" s="4" t="s">
        <v>19</v>
      </c>
      <c r="G19" s="4">
        <v>2023</v>
      </c>
      <c r="H19" s="4">
        <v>2022</v>
      </c>
      <c r="I19" s="4">
        <v>2021</v>
      </c>
    </row>
    <row r="20" spans="1:9" x14ac:dyDescent="0.35">
      <c r="A20" t="s">
        <v>22</v>
      </c>
      <c r="B20" s="14">
        <f>23092/((293+300)/2)</f>
        <v>77.881956155143342</v>
      </c>
      <c r="C20" s="14">
        <f>24442/((300+297)/2)</f>
        <v>81.882747068676721</v>
      </c>
      <c r="D20" s="14">
        <f>24460/((297+276)/2)</f>
        <v>85.375218150087264</v>
      </c>
      <c r="F20" t="s">
        <v>22</v>
      </c>
      <c r="G20" s="13">
        <v>97.563999999999993</v>
      </c>
      <c r="H20" s="13">
        <v>95.870999999999995</v>
      </c>
      <c r="I20" s="13">
        <v>104.355</v>
      </c>
    </row>
    <row r="21" spans="1:9" x14ac:dyDescent="0.35">
      <c r="G21" s="6"/>
    </row>
    <row r="22" spans="1:9" x14ac:dyDescent="0.35">
      <c r="A22" s="10" t="s">
        <v>15</v>
      </c>
      <c r="B22" s="6"/>
      <c r="G22" s="6"/>
    </row>
    <row r="23" spans="1:9" x14ac:dyDescent="0.35">
      <c r="A23" s="4" t="s">
        <v>18</v>
      </c>
      <c r="B23" s="4">
        <v>2023</v>
      </c>
      <c r="C23" s="4">
        <v>2022</v>
      </c>
      <c r="D23" s="4">
        <v>2021</v>
      </c>
      <c r="E23" s="4"/>
      <c r="F23" s="4" t="s">
        <v>19</v>
      </c>
      <c r="G23" s="4">
        <v>2023</v>
      </c>
      <c r="H23" s="4">
        <v>2022</v>
      </c>
      <c r="I23" s="4">
        <v>2021</v>
      </c>
    </row>
    <row r="24" spans="1:9" x14ac:dyDescent="0.35">
      <c r="A24" s="15" t="s">
        <v>23</v>
      </c>
      <c r="B24" s="16">
        <f>+(((4361+4267)/2)/14143)*365</f>
        <v>111.33493601074737</v>
      </c>
      <c r="C24" s="16">
        <f>+(((4383+4267)/2)/15306)*365</f>
        <v>103.13765843460081</v>
      </c>
      <c r="D24" s="16">
        <f>+(((4383+3774)/2)/14956)*365</f>
        <v>99.535470714094686</v>
      </c>
      <c r="F24" s="15" t="s">
        <v>23</v>
      </c>
      <c r="G24" s="18">
        <v>105.5</v>
      </c>
      <c r="H24" s="15">
        <v>99.65</v>
      </c>
      <c r="I24" s="15">
        <v>90.26</v>
      </c>
    </row>
    <row r="25" spans="1:9" x14ac:dyDescent="0.35">
      <c r="A25" s="15" t="s">
        <v>24</v>
      </c>
      <c r="B25" s="16">
        <f>+(((293+300)/2)/23092)*365</f>
        <v>4.6865797678849823</v>
      </c>
      <c r="C25" s="16">
        <f>+(((300+297)/2)/24442)*365</f>
        <v>4.4575934866213895</v>
      </c>
      <c r="D25" s="16">
        <f>+(((297+276)/2)/24460)*365</f>
        <v>4.2752452984464435</v>
      </c>
      <c r="F25" s="15" t="s">
        <v>24</v>
      </c>
      <c r="G25" s="15">
        <v>3.7411069576751474</v>
      </c>
      <c r="H25" s="15">
        <v>3.8071790688188329</v>
      </c>
      <c r="I25" s="15">
        <v>3.497644956959558</v>
      </c>
    </row>
    <row r="26" spans="1:9" x14ac:dyDescent="0.35">
      <c r="A26" s="15" t="s">
        <v>25</v>
      </c>
      <c r="B26" s="16">
        <f>+(((2053+1913)/2)/14143)*365</f>
        <v>51.176907303966622</v>
      </c>
      <c r="C26" s="16">
        <f>+(((2222+2053)/2)/15306)*365</f>
        <v>50.972657781262249</v>
      </c>
      <c r="D26" s="16">
        <f>+(((2222+1978)/2)/14956)*365</f>
        <v>51.2503343139877</v>
      </c>
      <c r="F26" s="15" t="s">
        <v>25</v>
      </c>
      <c r="G26" s="15">
        <v>42.834825681082108</v>
      </c>
      <c r="H26" s="15">
        <v>47.994457536877015</v>
      </c>
      <c r="I26" s="15">
        <v>50.408105272361631</v>
      </c>
    </row>
    <row r="27" spans="1:9" x14ac:dyDescent="0.35">
      <c r="A27" s="13" t="s">
        <v>26</v>
      </c>
      <c r="B27" s="17">
        <f>B24+B25-B26</f>
        <v>64.844608474665733</v>
      </c>
      <c r="C27" s="17">
        <f>C24+C25-C26</f>
        <v>56.622594139959951</v>
      </c>
      <c r="D27" s="17">
        <f>D24+D25-D26</f>
        <v>52.560381698553435</v>
      </c>
      <c r="F27" s="13" t="s">
        <v>26</v>
      </c>
      <c r="G27" s="13">
        <f>G24+G25-G26</f>
        <v>66.406281276593035</v>
      </c>
      <c r="H27" s="13">
        <f>H24+H25-H26</f>
        <v>55.462721531941831</v>
      </c>
      <c r="I27" s="13">
        <f>I24+I25-I26</f>
        <v>43.349539684597936</v>
      </c>
    </row>
    <row r="29" spans="1:9" x14ac:dyDescent="0.35">
      <c r="A29" t="s">
        <v>16</v>
      </c>
    </row>
    <row r="30" spans="1:9" x14ac:dyDescent="0.35">
      <c r="A30" t="s">
        <v>20</v>
      </c>
    </row>
    <row r="31" spans="1:9" x14ac:dyDescent="0.35">
      <c r="A31" s="5" t="s">
        <v>2</v>
      </c>
      <c r="B31" s="4"/>
      <c r="C31" s="4"/>
      <c r="D31" s="4"/>
      <c r="E31" s="4"/>
      <c r="F31" s="4"/>
      <c r="G31" s="4"/>
      <c r="H31" s="4"/>
    </row>
    <row r="32" spans="1:9" x14ac:dyDescent="0.35">
      <c r="A32" s="4" t="s">
        <v>18</v>
      </c>
      <c r="B32" s="4">
        <v>2023</v>
      </c>
      <c r="C32" s="4">
        <v>2022</v>
      </c>
      <c r="D32" s="4">
        <v>2021</v>
      </c>
      <c r="E32" s="4"/>
      <c r="F32" s="4" t="s">
        <v>19</v>
      </c>
      <c r="G32" s="4">
        <v>2023</v>
      </c>
      <c r="H32" s="4">
        <v>2022</v>
      </c>
      <c r="I32" s="4">
        <v>2021</v>
      </c>
    </row>
    <row r="33" spans="1:9" x14ac:dyDescent="0.35">
      <c r="A33" s="15" t="s">
        <v>31</v>
      </c>
      <c r="B33" s="2">
        <f>8375+1027</f>
        <v>9402</v>
      </c>
      <c r="C33" s="20">
        <f>8461+41</f>
        <v>8502</v>
      </c>
      <c r="D33" s="20">
        <f>8154+30</f>
        <v>8184</v>
      </c>
      <c r="F33" s="15" t="s">
        <v>27</v>
      </c>
      <c r="G33" s="19">
        <f>5512+749</f>
        <v>6261</v>
      </c>
      <c r="H33" s="19">
        <f>5587+808</f>
        <v>6395</v>
      </c>
      <c r="I33" s="19">
        <f>5478+838</f>
        <v>6316</v>
      </c>
    </row>
    <row r="34" spans="1:9" x14ac:dyDescent="0.35">
      <c r="A34" s="15" t="s">
        <v>28</v>
      </c>
      <c r="B34" s="2">
        <v>23092</v>
      </c>
      <c r="C34" s="20">
        <v>24442</v>
      </c>
      <c r="D34" s="20">
        <v>24460</v>
      </c>
      <c r="F34" s="15" t="s">
        <v>28</v>
      </c>
      <c r="G34" s="19">
        <v>16586</v>
      </c>
      <c r="H34" s="19">
        <v>17161</v>
      </c>
      <c r="I34" s="19">
        <v>18471</v>
      </c>
    </row>
    <row r="35" spans="1:9" x14ac:dyDescent="0.35">
      <c r="A35" s="8" t="s">
        <v>2</v>
      </c>
      <c r="B35" s="6">
        <f>B33/B34</f>
        <v>0.40715399272475317</v>
      </c>
      <c r="C35" s="6">
        <f t="shared" ref="C35:D35" si="0">C33/C34</f>
        <v>0.34784387529662059</v>
      </c>
      <c r="D35" s="6">
        <f t="shared" si="0"/>
        <v>0.33458708094848733</v>
      </c>
      <c r="F35" s="8" t="s">
        <v>2</v>
      </c>
      <c r="G35" s="6">
        <f>G33/G34</f>
        <v>0.37748703726034005</v>
      </c>
      <c r="H35" s="6">
        <f t="shared" ref="H35:I35" si="1">H33/H34</f>
        <v>0.37264728162694483</v>
      </c>
      <c r="I35" s="6">
        <f t="shared" si="1"/>
        <v>0.34194142168805153</v>
      </c>
    </row>
    <row r="37" spans="1:9" x14ac:dyDescent="0.35">
      <c r="A37" s="5" t="s">
        <v>3</v>
      </c>
      <c r="B37" s="4"/>
      <c r="C37" s="4"/>
      <c r="D37" s="4"/>
      <c r="E37" s="4"/>
      <c r="F37" s="4"/>
      <c r="G37" s="4"/>
    </row>
    <row r="38" spans="1:9" x14ac:dyDescent="0.35">
      <c r="A38" s="4" t="s">
        <v>18</v>
      </c>
      <c r="B38" s="4">
        <v>2023</v>
      </c>
      <c r="C38" s="4">
        <v>2022</v>
      </c>
      <c r="D38" s="4">
        <v>2021</v>
      </c>
      <c r="E38" s="4"/>
      <c r="F38" s="4" t="s">
        <v>19</v>
      </c>
      <c r="G38" s="4">
        <v>2023</v>
      </c>
      <c r="H38" s="4">
        <v>2022</v>
      </c>
      <c r="I38" s="4">
        <v>2021</v>
      </c>
    </row>
    <row r="39" spans="1:9" x14ac:dyDescent="0.35">
      <c r="A39" s="15" t="s">
        <v>7</v>
      </c>
      <c r="B39" s="21">
        <v>105000000</v>
      </c>
      <c r="C39" s="21">
        <v>1177000000</v>
      </c>
      <c r="D39" s="21">
        <v>1430000000</v>
      </c>
      <c r="F39" s="15" t="s">
        <v>7</v>
      </c>
      <c r="G39" s="21">
        <v>317000000</v>
      </c>
      <c r="H39" s="21">
        <v>-19000000</v>
      </c>
      <c r="I39" s="21">
        <v>938000000</v>
      </c>
    </row>
    <row r="40" spans="1:9" x14ac:dyDescent="0.35">
      <c r="A40" s="15" t="s">
        <v>30</v>
      </c>
      <c r="B40" s="21">
        <v>23092000000</v>
      </c>
      <c r="C40" s="21">
        <v>24442000000</v>
      </c>
      <c r="D40" s="21">
        <v>24460000000</v>
      </c>
      <c r="F40" s="15" t="s">
        <v>30</v>
      </c>
      <c r="G40" s="21">
        <v>16586000000</v>
      </c>
      <c r="H40" s="21">
        <v>17161000000</v>
      </c>
      <c r="I40" s="21">
        <v>18471000000</v>
      </c>
    </row>
    <row r="41" spans="1:9" x14ac:dyDescent="0.35">
      <c r="A41" s="13" t="s">
        <v>29</v>
      </c>
      <c r="B41" s="6">
        <f>B39/B40</f>
        <v>4.547029274207518E-3</v>
      </c>
      <c r="C41" s="6">
        <f t="shared" ref="C41:D41" si="2">C39/C40</f>
        <v>4.8154815481548152E-2</v>
      </c>
      <c r="D41" s="6">
        <f t="shared" si="2"/>
        <v>5.8462796402289449E-2</v>
      </c>
      <c r="F41" s="13" t="s">
        <v>29</v>
      </c>
      <c r="G41" s="6">
        <f>G39/G40</f>
        <v>1.9112504521885929E-2</v>
      </c>
      <c r="H41" s="6">
        <f t="shared" ref="H41:I41" si="3">H39/H40</f>
        <v>-1.1071615873200862E-3</v>
      </c>
      <c r="I41" s="6">
        <f t="shared" si="3"/>
        <v>5.0782307400790427E-2</v>
      </c>
    </row>
    <row r="43" spans="1:9" x14ac:dyDescent="0.35">
      <c r="A43" s="5" t="s">
        <v>11</v>
      </c>
      <c r="B43" s="4"/>
      <c r="C43" s="4"/>
      <c r="D43" s="4"/>
      <c r="E43" s="4"/>
      <c r="F43" s="4"/>
      <c r="G43" s="4"/>
      <c r="H43" s="4"/>
    </row>
    <row r="44" spans="1:9" x14ac:dyDescent="0.35">
      <c r="A44" s="4" t="s">
        <v>18</v>
      </c>
      <c r="B44" s="4">
        <v>2023</v>
      </c>
      <c r="C44" s="4">
        <v>2022</v>
      </c>
      <c r="D44" s="4">
        <v>2021</v>
      </c>
      <c r="E44" s="4"/>
      <c r="F44" s="4" t="s">
        <v>19</v>
      </c>
      <c r="G44" s="4">
        <v>2023</v>
      </c>
      <c r="H44" s="4">
        <v>2022</v>
      </c>
      <c r="I44" s="4">
        <v>2021</v>
      </c>
    </row>
    <row r="45" spans="1:9" x14ac:dyDescent="0.35">
      <c r="A45" s="15" t="s">
        <v>32</v>
      </c>
      <c r="B45" s="19">
        <v>14143</v>
      </c>
      <c r="C45" s="19">
        <v>15306</v>
      </c>
      <c r="D45" s="19">
        <v>14956</v>
      </c>
      <c r="F45" s="15" t="s">
        <v>32</v>
      </c>
      <c r="G45" s="19">
        <v>10498</v>
      </c>
      <c r="H45" s="19">
        <v>11457</v>
      </c>
      <c r="I45" s="19">
        <v>11437</v>
      </c>
    </row>
    <row r="46" spans="1:9" x14ac:dyDescent="0.35">
      <c r="A46" s="15" t="s">
        <v>33</v>
      </c>
      <c r="B46" s="19">
        <f>AVERAGE(4361,4267)</f>
        <v>4314</v>
      </c>
      <c r="C46" s="19">
        <f>AVERAGE(4267,4383)</f>
        <v>4325</v>
      </c>
      <c r="D46" s="19">
        <f>AVERAGE(4383,3774)</f>
        <v>4078.5</v>
      </c>
      <c r="F46" s="15" t="s">
        <v>33</v>
      </c>
      <c r="G46" s="19">
        <v>3034.5</v>
      </c>
      <c r="H46" s="19">
        <v>3128</v>
      </c>
      <c r="I46" s="19">
        <v>2828.5</v>
      </c>
    </row>
    <row r="47" spans="1:9" x14ac:dyDescent="0.35">
      <c r="A47" s="8" t="s">
        <v>11</v>
      </c>
      <c r="B47" s="12">
        <f>B45/B46</f>
        <v>3.2783959202596198</v>
      </c>
      <c r="C47" s="12">
        <f t="shared" ref="C47:D47" si="4">C45/C46</f>
        <v>3.5389595375722545</v>
      </c>
      <c r="D47" s="12">
        <f t="shared" si="4"/>
        <v>3.6670344489395612</v>
      </c>
      <c r="F47" s="8" t="s">
        <v>11</v>
      </c>
      <c r="G47" s="13">
        <f>G45/G46</f>
        <v>3.4595485252924698</v>
      </c>
      <c r="H47" s="13">
        <f>H45/H46</f>
        <v>3.6627237851662402</v>
      </c>
      <c r="I47" s="13">
        <f>I45/I46</f>
        <v>4.0434859466148136</v>
      </c>
    </row>
    <row r="49" spans="1:9" x14ac:dyDescent="0.35">
      <c r="A49" s="5" t="s">
        <v>12</v>
      </c>
      <c r="B49" s="4"/>
      <c r="C49" s="4"/>
      <c r="D49" s="4"/>
      <c r="E49" s="4"/>
      <c r="F49" s="4"/>
      <c r="G49" s="4"/>
      <c r="H49" s="4"/>
    </row>
    <row r="50" spans="1:9" x14ac:dyDescent="0.35">
      <c r="A50" s="4" t="s">
        <v>18</v>
      </c>
      <c r="B50" s="4">
        <v>2023</v>
      </c>
      <c r="C50" s="4">
        <v>2022</v>
      </c>
      <c r="D50" s="4">
        <v>2021</v>
      </c>
      <c r="E50" s="4"/>
      <c r="F50" s="4" t="s">
        <v>19</v>
      </c>
      <c r="G50" s="4">
        <v>2023</v>
      </c>
      <c r="H50" s="4">
        <v>2022</v>
      </c>
      <c r="I50" s="4">
        <v>2021</v>
      </c>
    </row>
    <row r="51" spans="1:9" x14ac:dyDescent="0.35">
      <c r="A51" s="15" t="s">
        <v>32</v>
      </c>
      <c r="B51" s="19">
        <v>14143</v>
      </c>
      <c r="C51" s="19">
        <v>15306</v>
      </c>
      <c r="D51" s="19">
        <v>14956</v>
      </c>
      <c r="F51" s="15" t="s">
        <v>32</v>
      </c>
      <c r="G51" s="19">
        <v>10498</v>
      </c>
      <c r="H51" s="19">
        <v>11457</v>
      </c>
      <c r="I51" s="19">
        <v>11437</v>
      </c>
    </row>
    <row r="52" spans="1:9" x14ac:dyDescent="0.35">
      <c r="A52" s="15" t="s">
        <v>34</v>
      </c>
      <c r="B52" s="19">
        <f>(2053+1913)/2</f>
        <v>1983</v>
      </c>
      <c r="C52" s="19">
        <f>(2222+2053)/2</f>
        <v>2137.5</v>
      </c>
      <c r="D52" s="19">
        <f>(2222+1978)/2</f>
        <v>2100</v>
      </c>
      <c r="F52" s="15" t="s">
        <v>34</v>
      </c>
      <c r="G52" s="19">
        <v>1232</v>
      </c>
      <c r="H52" s="19">
        <v>1506.5</v>
      </c>
      <c r="I52" s="19">
        <v>1579.5</v>
      </c>
    </row>
    <row r="53" spans="1:9" x14ac:dyDescent="0.35">
      <c r="A53" s="8" t="s">
        <v>12</v>
      </c>
      <c r="B53" s="13">
        <f>B51/B52</f>
        <v>7.132123045890066</v>
      </c>
      <c r="C53" s="13">
        <f>C51/C52</f>
        <v>7.1607017543859648</v>
      </c>
      <c r="D53" s="13">
        <f>D51/D52</f>
        <v>7.1219047619047622</v>
      </c>
      <c r="F53" s="8" t="s">
        <v>12</v>
      </c>
      <c r="G53" s="13">
        <f>G51/G52</f>
        <v>8.521103896103897</v>
      </c>
      <c r="H53" s="13">
        <f>H51/H52</f>
        <v>7.605044805841354</v>
      </c>
      <c r="I53" s="13">
        <f>I51/I52</f>
        <v>7.2408990186767968</v>
      </c>
    </row>
    <row r="55" spans="1:9" x14ac:dyDescent="0.35">
      <c r="A55" s="5" t="s">
        <v>4</v>
      </c>
      <c r="B55" s="4"/>
      <c r="C55" s="4"/>
      <c r="D55" s="4"/>
      <c r="E55" s="4"/>
      <c r="F55" s="4"/>
      <c r="G55" s="4"/>
      <c r="H55" s="4"/>
    </row>
    <row r="56" spans="1:9" x14ac:dyDescent="0.35">
      <c r="A56" s="4" t="s">
        <v>18</v>
      </c>
      <c r="B56" s="4">
        <v>2023</v>
      </c>
      <c r="C56" s="4">
        <v>2022</v>
      </c>
      <c r="D56" s="4">
        <v>2021</v>
      </c>
      <c r="E56" s="4"/>
      <c r="F56" s="4" t="s">
        <v>19</v>
      </c>
      <c r="G56" s="4">
        <v>2023</v>
      </c>
      <c r="H56" s="4">
        <v>2022</v>
      </c>
      <c r="I56" s="4">
        <v>2021</v>
      </c>
    </row>
    <row r="57" spans="1:9" x14ac:dyDescent="0.35">
      <c r="A57" s="15" t="s">
        <v>35</v>
      </c>
      <c r="B57" s="19">
        <f>16246-4137</f>
        <v>12109</v>
      </c>
      <c r="C57" s="19">
        <f>16866-4082</f>
        <v>12784</v>
      </c>
      <c r="D57" s="19">
        <f>17590-3621</f>
        <v>13969</v>
      </c>
      <c r="F57" s="15" t="s">
        <v>35</v>
      </c>
      <c r="G57" s="19">
        <f>14009-3893</f>
        <v>10116</v>
      </c>
      <c r="H57" s="19">
        <f>14345-3763</f>
        <v>10582</v>
      </c>
      <c r="I57" s="19">
        <f>15054-4661</f>
        <v>10393</v>
      </c>
    </row>
    <row r="58" spans="1:9" x14ac:dyDescent="0.35">
      <c r="A58" s="15" t="s">
        <v>36</v>
      </c>
      <c r="B58" s="19">
        <v>4137</v>
      </c>
      <c r="C58" s="19">
        <v>4082</v>
      </c>
      <c r="D58" s="19">
        <v>3621</v>
      </c>
      <c r="F58" s="15" t="s">
        <v>36</v>
      </c>
      <c r="G58" s="19">
        <v>3893</v>
      </c>
      <c r="H58" s="19">
        <v>3763</v>
      </c>
      <c r="I58" s="19">
        <v>4661</v>
      </c>
    </row>
    <row r="59" spans="1:9" x14ac:dyDescent="0.35">
      <c r="A59" s="13" t="s">
        <v>4</v>
      </c>
      <c r="B59" s="13">
        <f>B57/B58</f>
        <v>2.9270002417210539</v>
      </c>
      <c r="C59" s="13">
        <f>C57/C58</f>
        <v>3.1317981381675648</v>
      </c>
      <c r="D59" s="13">
        <f>D57/D58</f>
        <v>3.8577740955537143</v>
      </c>
      <c r="F59" s="13" t="s">
        <v>4</v>
      </c>
      <c r="G59" s="13">
        <f>G57/G58</f>
        <v>2.5985101464166451</v>
      </c>
      <c r="H59" s="13">
        <f>H57/H58</f>
        <v>2.8121179909646559</v>
      </c>
      <c r="I59" s="13">
        <f>I57/I58</f>
        <v>2.2297790173782448</v>
      </c>
    </row>
    <row r="62" spans="1:9" x14ac:dyDescent="0.35">
      <c r="A62" s="5" t="s">
        <v>5</v>
      </c>
      <c r="B62" s="4"/>
      <c r="C62" s="4"/>
      <c r="D62" s="4"/>
      <c r="E62" s="4"/>
      <c r="F62" s="4"/>
      <c r="G62" s="4"/>
      <c r="H62" s="4"/>
    </row>
    <row r="63" spans="1:9" x14ac:dyDescent="0.35">
      <c r="A63" s="4" t="s">
        <v>18</v>
      </c>
      <c r="B63" s="4">
        <v>2023</v>
      </c>
      <c r="C63" s="4">
        <v>2022</v>
      </c>
      <c r="D63" s="4">
        <v>2021</v>
      </c>
      <c r="E63" s="4"/>
      <c r="F63" s="4" t="s">
        <v>19</v>
      </c>
      <c r="G63" s="4">
        <v>2023</v>
      </c>
      <c r="H63" s="4">
        <v>2022</v>
      </c>
      <c r="I63" s="4">
        <v>2021</v>
      </c>
    </row>
    <row r="64" spans="1:9" x14ac:dyDescent="0.35">
      <c r="A64" s="22" t="s">
        <v>37</v>
      </c>
      <c r="B64" s="19">
        <v>382</v>
      </c>
      <c r="C64" s="19">
        <v>1730</v>
      </c>
      <c r="D64" s="19">
        <v>2350</v>
      </c>
      <c r="F64" s="22" t="s">
        <v>37</v>
      </c>
      <c r="G64" s="19">
        <v>717</v>
      </c>
      <c r="H64" s="19">
        <v>246</v>
      </c>
      <c r="I64" s="19">
        <v>1680</v>
      </c>
    </row>
    <row r="65" spans="1:11" x14ac:dyDescent="0.35">
      <c r="A65" s="15" t="s">
        <v>38</v>
      </c>
      <c r="B65" s="19">
        <v>135</v>
      </c>
      <c r="C65" s="19">
        <v>162</v>
      </c>
      <c r="D65" s="19">
        <v>255</v>
      </c>
      <c r="F65" s="15" t="s">
        <v>38</v>
      </c>
      <c r="G65" s="19">
        <v>344</v>
      </c>
      <c r="H65" s="19">
        <v>304</v>
      </c>
      <c r="I65" s="19">
        <v>260</v>
      </c>
    </row>
    <row r="66" spans="1:11" x14ac:dyDescent="0.35">
      <c r="A66" s="8" t="s">
        <v>5</v>
      </c>
      <c r="B66" s="13">
        <f>B64/B65</f>
        <v>2.8296296296296295</v>
      </c>
      <c r="C66" s="13">
        <f>C64/C65</f>
        <v>10.679012345679013</v>
      </c>
      <c r="D66" s="13">
        <f>D64/D65</f>
        <v>9.2156862745098032</v>
      </c>
      <c r="F66" s="8" t="s">
        <v>5</v>
      </c>
      <c r="G66" s="13">
        <f>G64/G65</f>
        <v>2.0843023255813953</v>
      </c>
      <c r="H66" s="13">
        <f>H64/H65</f>
        <v>0.80921052631578949</v>
      </c>
      <c r="I66" s="13">
        <f>I64/I65</f>
        <v>6.4615384615384617</v>
      </c>
    </row>
    <row r="67" spans="1:11" ht="21" customHeight="1" x14ac:dyDescent="0.35">
      <c r="A67" t="s">
        <v>17</v>
      </c>
    </row>
    <row r="68" spans="1:11" ht="21" customHeight="1" x14ac:dyDescent="0.35">
      <c r="A68" s="23" t="s">
        <v>39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</row>
    <row r="69" spans="1:11" ht="21" customHeight="1" x14ac:dyDescent="0.3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</row>
    <row r="70" spans="1:11" ht="21" customHeight="1" x14ac:dyDescent="0.35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</row>
    <row r="71" spans="1:11" ht="21" customHeight="1" x14ac:dyDescent="0.35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</row>
    <row r="72" spans="1:11" ht="39" customHeight="1" x14ac:dyDescent="0.35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1" ht="21" customHeight="1" x14ac:dyDescent="0.3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1" ht="21" customHeight="1" x14ac:dyDescent="0.35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1" ht="20" customHeight="1" x14ac:dyDescent="0.3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</row>
  </sheetData>
  <mergeCells count="2">
    <mergeCell ref="A68:K75"/>
    <mergeCell ref="A3:H4"/>
  </mergeCells>
  <pageMargins left="0.7" right="0.7" top="0.75" bottom="0.75" header="0.3" footer="0.3"/>
  <pageSetup scale="67" fitToHeight="3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FRP #3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Chang</dc:creator>
  <cp:lastModifiedBy>Samarth Naik</cp:lastModifiedBy>
  <cp:lastPrinted>2023-09-21T18:09:41Z</cp:lastPrinted>
  <dcterms:created xsi:type="dcterms:W3CDTF">2020-10-04T04:52:45Z</dcterms:created>
  <dcterms:modified xsi:type="dcterms:W3CDTF">2025-04-02T03:55:27Z</dcterms:modified>
</cp:coreProperties>
</file>