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Sam\Desktop\UMass Sem II\633 F&amp;MA\Financail Reporting Project\"/>
    </mc:Choice>
  </mc:AlternateContent>
  <xr:revisionPtr revIDLastSave="0" documentId="13_ncr:1_{D5AA358F-3AE9-40CA-A878-AC96A2176A98}" xr6:coauthVersionLast="47" xr6:coauthVersionMax="47" xr10:uidLastSave="{00000000-0000-0000-0000-000000000000}"/>
  <bookViews>
    <workbookView xWindow="-110" yWindow="-110" windowWidth="19420" windowHeight="11500" xr2:uid="{00000000-000D-0000-FFFF-FFFF00000000}"/>
  </bookViews>
  <sheets>
    <sheet name="FRP #2 "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3" l="1"/>
  <c r="B42" i="3"/>
  <c r="B40" i="3"/>
  <c r="B39" i="3"/>
  <c r="B51" i="3"/>
  <c r="B50" i="3"/>
  <c r="B47" i="3"/>
  <c r="D47" i="3" s="1"/>
  <c r="D42" i="3"/>
  <c r="B34" i="3"/>
  <c r="B31" i="3"/>
  <c r="J18" i="3"/>
  <c r="L18" i="3" s="1"/>
  <c r="F18" i="3"/>
  <c r="H18" i="3" s="1"/>
  <c r="B18" i="3"/>
  <c r="D18" i="3" s="1"/>
  <c r="J15" i="3"/>
  <c r="F15" i="3"/>
  <c r="B15" i="3"/>
  <c r="D15" i="3" s="1"/>
  <c r="L15" i="3"/>
  <c r="H15" i="3"/>
  <c r="J163" i="3"/>
  <c r="F163" i="3"/>
  <c r="L10" i="3"/>
  <c r="H10" i="3"/>
  <c r="D10" i="3"/>
  <c r="L7" i="3"/>
  <c r="H7" i="3"/>
  <c r="D7" i="3"/>
  <c r="D50" i="3" l="1"/>
  <c r="D39" i="3"/>
  <c r="D31" i="3"/>
  <c r="D34" i="3"/>
</calcChain>
</file>

<file path=xl/sharedStrings.xml><?xml version="1.0" encoding="utf-8"?>
<sst xmlns="http://schemas.openxmlformats.org/spreadsheetml/2006/main" count="66" uniqueCount="36">
  <si>
    <t>=</t>
  </si>
  <si>
    <t>3. Using the current ratios calculated above, which company is more liquid in each year?</t>
  </si>
  <si>
    <t>4. A current ratio of less than 1 indicates which of the following?</t>
  </si>
  <si>
    <t>The company will have a hard time paying current debts.</t>
  </si>
  <si>
    <t>B.</t>
  </si>
  <si>
    <t>The company will have an easier time paying current debts.</t>
  </si>
  <si>
    <t>5. Horizontal analysis: % change in sales</t>
  </si>
  <si>
    <t xml:space="preserve"> 2. Gross margin %</t>
  </si>
  <si>
    <t>6. Horizontal analysis: % change in gross margin (don't use GM % in your calculations)</t>
  </si>
  <si>
    <t>7. Horizontal analysis: % change in net income</t>
  </si>
  <si>
    <t>Financial Reporting Project (FRP) #2</t>
  </si>
  <si>
    <t>BB in R/E</t>
  </si>
  <si>
    <t>Plus: Net Income</t>
  </si>
  <si>
    <t>Less: Dividends</t>
  </si>
  <si>
    <t>Ending Bal. in R/E</t>
  </si>
  <si>
    <t>1. Current ratio</t>
  </si>
  <si>
    <t>Name:</t>
  </si>
  <si>
    <t xml:space="preserve"> A.</t>
  </si>
  <si>
    <t>+/- Other*</t>
  </si>
  <si>
    <t>14. Using the cash flow statements, how much did each company invest in Property, Plant, and Equipment (PP&amp;E) in 2023? Note: PP&amp;E is sometimes referred to as "Capital Expenditures." Remember, the numbers in these reports are truncated, so provide the actual amount. Do not include equipment leased to others.</t>
  </si>
  <si>
    <t>17. Complete the following reconciliation for 2023 (this is just for Retained Earnings, not for total stockholders' equity).</t>
  </si>
  <si>
    <t>Macy's Inc.. 2023</t>
  </si>
  <si>
    <t>Macy's Inc.. - 2023 investment in PP&amp;E</t>
  </si>
  <si>
    <t>Kohl's, Inc.- 2023 investment in PP&amp;E</t>
  </si>
  <si>
    <t>Kohl's, Inc. 2023</t>
  </si>
  <si>
    <t>Kohl's, Inc. 2022</t>
  </si>
  <si>
    <t>Kohl's, Inc. 2021</t>
  </si>
  <si>
    <t xml:space="preserve"> Kohl's, Inc.</t>
  </si>
  <si>
    <t>Macy's Inc.</t>
  </si>
  <si>
    <t>Review the balance sheet and accompanying footnotes to answer questions 9-13 (use the 2023 annual reports only and provide report page numbers). If something is not there, please just note it.</t>
  </si>
  <si>
    <t>Macy's Inc. 2023</t>
  </si>
  <si>
    <t>Macy's Inc. 2022</t>
  </si>
  <si>
    <t>Macy's Inc. 2021</t>
  </si>
  <si>
    <t>Samarth Naik</t>
  </si>
  <si>
    <t>Macy's Inc</t>
  </si>
  <si>
    <t>Kohl's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</si>
</sst>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0.0%"/>
    <numFmt numFmtId="166" formatCode="_(* #,##0_);_(* \(#,##0\);_(* &quot;-&quot;??_);_(@_)"/>
  </numFmts>
  <fonts count="5" x14ac:knownFonts="1">
    <font>
      <sz val="12"/>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sz val="12"/>
      <name val="Calibri"/>
      <family val="2"/>
      <scheme val="minor"/>
    </font>
  </fonts>
  <fills count="4">
    <fill>
      <patternFill patternType="none"/>
    </fill>
    <fill>
      <patternFill patternType="gray125"/>
    </fill>
    <fill>
      <patternFill patternType="solid">
        <fgColor theme="7"/>
        <bgColor indexed="64"/>
      </patternFill>
    </fill>
    <fill>
      <patternFill patternType="solid">
        <fgColor theme="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48">
    <xf numFmtId="0" fontId="0" fillId="0" borderId="0" xfId="0"/>
    <xf numFmtId="0" fontId="0" fillId="0" borderId="0" xfId="0" applyAlignment="1">
      <alignment horizontal="center"/>
    </xf>
    <xf numFmtId="0" fontId="0" fillId="0" borderId="5" xfId="0" applyBorder="1" applyAlignment="1">
      <alignment horizontal="center"/>
    </xf>
    <xf numFmtId="0" fontId="0" fillId="0" borderId="0" xfId="0" applyAlignment="1">
      <alignment horizontal="center" vertical="center"/>
    </xf>
    <xf numFmtId="0" fontId="0" fillId="0" borderId="0" xfId="0" applyAlignment="1">
      <alignment horizontal="right"/>
    </xf>
    <xf numFmtId="43" fontId="0" fillId="0" borderId="11" xfId="1" applyFont="1" applyBorder="1"/>
    <xf numFmtId="43" fontId="0" fillId="0" borderId="0" xfId="1" applyFont="1" applyBorder="1"/>
    <xf numFmtId="43" fontId="0" fillId="0" borderId="11" xfId="0" applyNumberFormat="1" applyBorder="1"/>
    <xf numFmtId="43" fontId="0" fillId="0" borderId="0" xfId="0" applyNumberFormat="1"/>
    <xf numFmtId="43" fontId="0" fillId="0" borderId="0" xfId="1" applyFont="1"/>
    <xf numFmtId="0" fontId="3" fillId="0" borderId="0" xfId="0" applyFont="1"/>
    <xf numFmtId="44" fontId="0" fillId="0" borderId="11" xfId="3" applyFont="1" applyBorder="1"/>
    <xf numFmtId="44" fontId="0" fillId="0" borderId="0" xfId="3" applyFont="1" applyBorder="1"/>
    <xf numFmtId="0" fontId="0" fillId="0" borderId="0" xfId="0" quotePrefix="1" applyAlignment="1">
      <alignment horizontal="left"/>
    </xf>
    <xf numFmtId="0" fontId="0" fillId="0" borderId="0" xfId="0" applyAlignment="1">
      <alignment horizontal="left"/>
    </xf>
    <xf numFmtId="166" fontId="0" fillId="0" borderId="11" xfId="1" applyNumberFormat="1" applyFont="1" applyBorder="1" applyAlignment="1">
      <alignment horizontal="center"/>
    </xf>
    <xf numFmtId="166" fontId="0" fillId="0" borderId="0" xfId="1" applyNumberFormat="1" applyFont="1" applyAlignment="1">
      <alignment horizontal="center"/>
    </xf>
    <xf numFmtId="0" fontId="2" fillId="2" borderId="6" xfId="0" applyFont="1" applyFill="1" applyBorder="1" applyAlignment="1">
      <alignment horizontal="center" wrapText="1"/>
    </xf>
    <xf numFmtId="0" fontId="2" fillId="2" borderId="5" xfId="0" applyFont="1" applyFill="1" applyBorder="1" applyAlignment="1">
      <alignment horizontal="center" wrapText="1"/>
    </xf>
    <xf numFmtId="0" fontId="2" fillId="2" borderId="7" xfId="0" applyFont="1" applyFill="1" applyBorder="1" applyAlignment="1">
      <alignment horizontal="center" wrapText="1"/>
    </xf>
    <xf numFmtId="0" fontId="2" fillId="2" borderId="8" xfId="0" applyFont="1" applyFill="1" applyBorder="1" applyAlignment="1">
      <alignment horizontal="center" wrapText="1"/>
    </xf>
    <xf numFmtId="0" fontId="2" fillId="2" borderId="9" xfId="0" applyFont="1" applyFill="1" applyBorder="1" applyAlignment="1">
      <alignment horizontal="center" wrapText="1"/>
    </xf>
    <xf numFmtId="0" fontId="2" fillId="2" borderId="10" xfId="0" applyFont="1" applyFill="1" applyBorder="1" applyAlignment="1">
      <alignment horizontal="center" wrapText="1"/>
    </xf>
    <xf numFmtId="0" fontId="2" fillId="0" borderId="3" xfId="0" applyFont="1" applyBorder="1" applyAlignment="1">
      <alignment horizontal="center"/>
    </xf>
    <xf numFmtId="0" fontId="2" fillId="0" borderId="0" xfId="0" applyFont="1" applyAlignment="1">
      <alignment horizontal="right"/>
    </xf>
    <xf numFmtId="44" fontId="0" fillId="0" borderId="1" xfId="3" applyFont="1" applyBorder="1" applyAlignment="1">
      <alignment horizontal="center"/>
    </xf>
    <xf numFmtId="0" fontId="2" fillId="2" borderId="14" xfId="0" applyFont="1" applyFill="1" applyBorder="1" applyAlignment="1">
      <alignment horizontal="center" wrapText="1"/>
    </xf>
    <xf numFmtId="0" fontId="2" fillId="2" borderId="0" xfId="0" applyFont="1" applyFill="1" applyAlignment="1">
      <alignment horizontal="center" wrapText="1"/>
    </xf>
    <xf numFmtId="0" fontId="2" fillId="2" borderId="15" xfId="0" applyFont="1" applyFill="1" applyBorder="1" applyAlignment="1">
      <alignment horizontal="center" wrapText="1"/>
    </xf>
    <xf numFmtId="0" fontId="2" fillId="0" borderId="0" xfId="0" applyFont="1" applyAlignment="1">
      <alignment horizontal="center"/>
    </xf>
    <xf numFmtId="0" fontId="0" fillId="0" borderId="0" xfId="0" applyAlignment="1">
      <alignment horizontal="center" vertical="center"/>
    </xf>
    <xf numFmtId="9" fontId="0" fillId="0" borderId="12" xfId="2" applyFont="1" applyBorder="1" applyAlignment="1">
      <alignment horizontal="center" vertical="center"/>
    </xf>
    <xf numFmtId="9" fontId="0" fillId="0" borderId="13" xfId="2" applyFont="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0" borderId="5" xfId="0" applyFont="1" applyBorder="1" applyAlignment="1">
      <alignment horizontal="center"/>
    </xf>
    <xf numFmtId="165" fontId="0" fillId="0" borderId="12" xfId="2" applyNumberFormat="1" applyFont="1" applyBorder="1" applyAlignment="1">
      <alignment horizontal="center" vertical="center"/>
    </xf>
    <xf numFmtId="165" fontId="0" fillId="0" borderId="13" xfId="2" applyNumberFormat="1" applyFont="1" applyBorder="1" applyAlignment="1">
      <alignment horizontal="center" vertical="center"/>
    </xf>
    <xf numFmtId="0" fontId="4" fillId="3" borderId="5" xfId="0" applyFont="1" applyFill="1" applyBorder="1" applyAlignment="1">
      <alignment horizontal="left"/>
    </xf>
    <xf numFmtId="0" fontId="0" fillId="2" borderId="3" xfId="0" applyFill="1" applyBorder="1" applyAlignment="1">
      <alignment horizontal="center"/>
    </xf>
    <xf numFmtId="0" fontId="0" fillId="2"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15" xfId="0" applyBorder="1" applyAlignment="1">
      <alignment horizontal="center" vertical="center"/>
    </xf>
    <xf numFmtId="164" fontId="0" fillId="0" borderId="12" xfId="0" applyNumberFormat="1" applyBorder="1" applyAlignment="1">
      <alignment horizontal="center" vertical="center"/>
    </xf>
    <xf numFmtId="164" fontId="0" fillId="0" borderId="13" xfId="0" applyNumberFormat="1" applyBorder="1" applyAlignment="1">
      <alignment horizontal="center" vertical="center"/>
    </xf>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139700</xdr:colOff>
      <xdr:row>4</xdr:row>
      <xdr:rowOff>139700</xdr:rowOff>
    </xdr:from>
    <xdr:to>
      <xdr:col>17</xdr:col>
      <xdr:colOff>596900</xdr:colOff>
      <xdr:row>18</xdr:row>
      <xdr:rowOff>142875</xdr:rowOff>
    </xdr:to>
    <xdr:sp macro="" textlink="">
      <xdr:nvSpPr>
        <xdr:cNvPr id="2" name="TextBox 1">
          <a:extLst>
            <a:ext uri="{FF2B5EF4-FFF2-40B4-BE49-F238E27FC236}">
              <a16:creationId xmlns:a16="http://schemas.microsoft.com/office/drawing/2014/main" id="{FF8D2576-5360-2D43-BC96-C0B376A164F0}"/>
            </a:ext>
          </a:extLst>
        </xdr:cNvPr>
        <xdr:cNvSpPr txBox="1"/>
      </xdr:nvSpPr>
      <xdr:spPr>
        <a:xfrm>
          <a:off x="9217025" y="939800"/>
          <a:ext cx="3810000" cy="2841625"/>
        </a:xfrm>
        <a:prstGeom prst="rect">
          <a:avLst/>
        </a:prstGeom>
        <a:solidFill>
          <a:schemeClr val="accent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Directions</a:t>
          </a:r>
          <a:r>
            <a:rPr lang="en-US" sz="1100" b="0"/>
            <a:t>:</a:t>
          </a:r>
          <a:endParaRPr lang="en-US" sz="1100" b="0" baseline="0"/>
        </a:p>
        <a:p>
          <a:r>
            <a:rPr lang="en-US" sz="1100">
              <a:solidFill>
                <a:schemeClr val="tx1"/>
              </a:solidFill>
            </a:rPr>
            <a:t>✻ Use the instructions from FRP #1.</a:t>
          </a:r>
        </a:p>
        <a:p>
          <a:r>
            <a:rPr lang="en-US" sz="1100">
              <a:solidFill>
                <a:schemeClr val="tx1"/>
              </a:solidFill>
            </a:rPr>
            <a:t>✻ Refer to the 2023</a:t>
          </a:r>
          <a:r>
            <a:rPr lang="en-US" sz="1100" baseline="0">
              <a:solidFill>
                <a:schemeClr val="tx1"/>
              </a:solidFill>
            </a:rPr>
            <a:t> </a:t>
          </a:r>
          <a:r>
            <a:rPr lang="en-US" sz="1100" i="0" baseline="0">
              <a:solidFill>
                <a:schemeClr val="tx1"/>
              </a:solidFill>
            </a:rPr>
            <a:t>and 2022 annual reports for these two companies to complete the questions.</a:t>
          </a:r>
        </a:p>
        <a:p>
          <a:r>
            <a:rPr lang="en-US" sz="1100">
              <a:solidFill>
                <a:schemeClr val="tx1"/>
              </a:solidFill>
            </a:rPr>
            <a:t>✻ You</a:t>
          </a:r>
          <a:r>
            <a:rPr lang="en-US" sz="1100" baseline="0">
              <a:solidFill>
                <a:schemeClr val="tx1"/>
              </a:solidFill>
            </a:rPr>
            <a:t> will use the 2022 annual report for 2021 values only. Sometimes prior year numbers are corrected in current-year reports, so use the most current reports.</a:t>
          </a:r>
          <a:endParaRPr lang="en-US" sz="1100" i="0" baseline="0">
            <a:solidFill>
              <a:schemeClr val="tx1"/>
            </a:solidFill>
          </a:endParaRPr>
        </a:p>
        <a:p>
          <a:r>
            <a:rPr lang="en-US" sz="1100">
              <a:solidFill>
                <a:schemeClr val="tx1"/>
              </a:solidFill>
            </a:rPr>
            <a:t>✻ Note</a:t>
          </a:r>
          <a:r>
            <a:rPr lang="en-US" sz="1100" baseline="0">
              <a:solidFill>
                <a:schemeClr val="tx1"/>
              </a:solidFill>
            </a:rPr>
            <a:t>: some answers have been provided to help you figure out the others.</a:t>
          </a:r>
        </a:p>
        <a:p>
          <a:r>
            <a:rPr lang="en-US" sz="1100">
              <a:solidFill>
                <a:schemeClr val="tx1"/>
              </a:solidFill>
            </a:rPr>
            <a:t>✻ Show</a:t>
          </a:r>
          <a:r>
            <a:rPr lang="en-US" sz="1100" baseline="0">
              <a:solidFill>
                <a:schemeClr val="tx1"/>
              </a:solidFill>
            </a:rPr>
            <a:t> the numerator and denominator of your calculations and carry your answer out to 1/10 of a %, or 3 decimal points (i.e. 2300/3400 = 0.676 or 67.6%).</a:t>
          </a:r>
        </a:p>
        <a:p>
          <a:r>
            <a:rPr lang="en-US" sz="1100">
              <a:solidFill>
                <a:schemeClr val="tx1"/>
              </a:solidFill>
            </a:rPr>
            <a:t>✻ Use formulas</a:t>
          </a:r>
          <a:r>
            <a:rPr lang="en-US" sz="1100" baseline="0">
              <a:solidFill>
                <a:schemeClr val="tx1"/>
              </a:solidFill>
            </a:rPr>
            <a:t> where you can!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Ratio</a:t>
          </a:r>
          <a:r>
            <a:rPr lang="en-US" sz="1100" baseline="0">
              <a:solidFill>
                <a:schemeClr val="dk1"/>
              </a:solidFill>
              <a:effectLst/>
              <a:latin typeface="+mn-lt"/>
              <a:ea typeface="+mn-ea"/>
              <a:cs typeface="+mn-cs"/>
            </a:rPr>
            <a:t> help can be found in Module 4</a:t>
          </a:r>
          <a:endParaRPr lang="en-US" sz="1100" baseline="0">
            <a:solidFill>
              <a:schemeClr val="tx1"/>
            </a:solidFill>
          </a:endParaRPr>
        </a:p>
        <a:p>
          <a:endParaRPr lang="en-US" sz="1100" b="1"/>
        </a:p>
      </xdr:txBody>
    </xdr:sp>
    <xdr:clientData/>
  </xdr:twoCellAnchor>
  <xdr:twoCellAnchor>
    <xdr:from>
      <xdr:col>13</xdr:col>
      <xdr:colOff>80434</xdr:colOff>
      <xdr:row>34</xdr:row>
      <xdr:rowOff>105833</xdr:rowOff>
    </xdr:from>
    <xdr:to>
      <xdr:col>17</xdr:col>
      <xdr:colOff>372534</xdr:colOff>
      <xdr:row>43</xdr:row>
      <xdr:rowOff>82550</xdr:rowOff>
    </xdr:to>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C7A8FA6-4CDA-5349-BA9E-C8386C5CC866}"/>
                </a:ext>
              </a:extLst>
            </xdr:cNvPr>
            <xdr:cNvSpPr txBox="1"/>
          </xdr:nvSpPr>
          <xdr:spPr>
            <a:xfrm>
              <a:off x="7509934" y="6887633"/>
              <a:ext cx="3594100" cy="1830917"/>
            </a:xfrm>
            <a:prstGeom prst="rect">
              <a:avLst/>
            </a:prstGeom>
            <a:solidFill>
              <a:schemeClr val="accent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Horizontal analysis</a:t>
              </a:r>
              <a:r>
                <a:rPr lang="en-US" sz="1100" baseline="0"/>
                <a:t>:</a:t>
              </a:r>
            </a:p>
            <a:p>
              <a:r>
                <a:rPr lang="en-US" sz="1100">
                  <a:solidFill>
                    <a:schemeClr val="tx1"/>
                  </a:solidFill>
                </a:rPr>
                <a:t>✻ A technique for evaluating</a:t>
              </a:r>
              <a:r>
                <a:rPr lang="en-US" sz="1100" baseline="0">
                  <a:solidFill>
                    <a:schemeClr val="tx1"/>
                  </a:solidFill>
                </a:rPr>
                <a:t> a series of financial statement data over a period of time. The purpose of a horizontal analysis is to express the changes in an item in percentages, based on a specific past year chosen as the base year (2022 in this case).</a:t>
              </a:r>
            </a:p>
            <a:p>
              <a:r>
                <a:rPr lang="en-US" sz="1100">
                  <a:solidFill>
                    <a:schemeClr val="tx1"/>
                  </a:solidFill>
                </a:rPr>
                <a:t>✻ Formula:</a:t>
              </a:r>
            </a:p>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𝑌𝑒𝑎𝑟</m:t>
                        </m:r>
                        <m:r>
                          <a:rPr lang="en-US" sz="1100" b="0" i="1">
                            <a:latin typeface="Cambria Math" panose="02040503050406030204" pitchFamily="18" charset="0"/>
                          </a:rPr>
                          <m:t>−</m:t>
                        </m:r>
                        <m:r>
                          <a:rPr lang="en-US" sz="1100" b="0" i="1">
                            <a:latin typeface="Cambria Math" panose="02040503050406030204" pitchFamily="18" charset="0"/>
                          </a:rPr>
                          <m:t>𝐵𝑎𝑠𝑒</m:t>
                        </m:r>
                        <m:r>
                          <a:rPr lang="en-US" sz="1100" b="0" i="1">
                            <a:latin typeface="Cambria Math" panose="02040503050406030204" pitchFamily="18" charset="0"/>
                          </a:rPr>
                          <m:t> </m:t>
                        </m:r>
                        <m:r>
                          <a:rPr lang="en-US" sz="1100" b="0" i="1">
                            <a:latin typeface="Cambria Math" panose="02040503050406030204" pitchFamily="18" charset="0"/>
                          </a:rPr>
                          <m:t>𝑌𝑒𝑎𝑟</m:t>
                        </m:r>
                      </m:num>
                      <m:den>
                        <m:r>
                          <a:rPr lang="en-US" sz="1100" b="0" i="1">
                            <a:latin typeface="Cambria Math" panose="02040503050406030204" pitchFamily="18" charset="0"/>
                          </a:rPr>
                          <m:t>𝐵𝑎𝑠𝑒</m:t>
                        </m:r>
                        <m:r>
                          <a:rPr lang="en-US" sz="1100" b="0" i="1">
                            <a:latin typeface="Cambria Math" panose="02040503050406030204" pitchFamily="18" charset="0"/>
                          </a:rPr>
                          <m:t> </m:t>
                        </m:r>
                        <m:r>
                          <a:rPr lang="en-US" sz="1100" b="0" i="1">
                            <a:latin typeface="Cambria Math" panose="02040503050406030204" pitchFamily="18" charset="0"/>
                          </a:rPr>
                          <m:t>𝑌𝑒𝑎𝑟</m:t>
                        </m:r>
                      </m:den>
                    </m:f>
                    <m:r>
                      <a:rPr lang="en-US" sz="1100" b="0" i="1">
                        <a:latin typeface="Cambria Math" panose="02040503050406030204" pitchFamily="18" charset="0"/>
                      </a:rPr>
                      <m:t> </m:t>
                    </m:r>
                    <m:r>
                      <a:rPr lang="en-US" sz="110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 100</m:t>
                    </m:r>
                  </m:oMath>
                </m:oMathPara>
              </a14:m>
              <a:endParaRPr lang="en-US" sz="1100"/>
            </a:p>
          </xdr:txBody>
        </xdr:sp>
      </mc:Choice>
      <mc:Fallback xmlns="">
        <xdr:sp macro="" textlink="">
          <xdr:nvSpPr>
            <xdr:cNvPr id="3" name="TextBox 2">
              <a:extLst>
                <a:ext uri="{FF2B5EF4-FFF2-40B4-BE49-F238E27FC236}">
                  <a16:creationId xmlns:a16="http://schemas.microsoft.com/office/drawing/2014/main" id="{7C7A8FA6-4CDA-5349-BA9E-C8386C5CC866}"/>
                </a:ext>
              </a:extLst>
            </xdr:cNvPr>
            <xdr:cNvSpPr txBox="1"/>
          </xdr:nvSpPr>
          <xdr:spPr>
            <a:xfrm>
              <a:off x="7509934" y="6887633"/>
              <a:ext cx="3594100" cy="1830917"/>
            </a:xfrm>
            <a:prstGeom prst="rect">
              <a:avLst/>
            </a:prstGeom>
            <a:solidFill>
              <a:schemeClr val="accent4"/>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Horizontal analysis</a:t>
              </a:r>
              <a:r>
                <a:rPr lang="en-US" sz="1100" baseline="0"/>
                <a:t>:</a:t>
              </a:r>
            </a:p>
            <a:p>
              <a:r>
                <a:rPr lang="en-US" sz="1100">
                  <a:solidFill>
                    <a:schemeClr val="tx1"/>
                  </a:solidFill>
                </a:rPr>
                <a:t>✻ A technique for evaluating</a:t>
              </a:r>
              <a:r>
                <a:rPr lang="en-US" sz="1100" baseline="0">
                  <a:solidFill>
                    <a:schemeClr val="tx1"/>
                  </a:solidFill>
                </a:rPr>
                <a:t> a series of financial statement data over a period of time. The purpose of a horizontal analysis is to express the changes in an item in percentages, based on a specific past year chosen as the base year (2022 in this case).</a:t>
              </a:r>
            </a:p>
            <a:p>
              <a:r>
                <a:rPr lang="en-US" sz="1100">
                  <a:solidFill>
                    <a:schemeClr val="tx1"/>
                  </a:solidFill>
                </a:rPr>
                <a:t>✻ Formula:</a:t>
              </a:r>
            </a:p>
            <a:p>
              <a:pPr/>
              <a:r>
                <a:rPr lang="en-US" sz="1100" i="0">
                  <a:latin typeface="Cambria Math" panose="02040503050406030204" pitchFamily="18" charset="0"/>
                </a:rPr>
                <a:t>(</a:t>
              </a:r>
              <a:r>
                <a:rPr lang="en-US" sz="1100" b="0" i="0">
                  <a:latin typeface="Cambria Math" panose="02040503050406030204" pitchFamily="18" charset="0"/>
                </a:rPr>
                <a:t>𝐶𝑢𝑟𝑟𝑒𝑛𝑡 𝑌𝑒𝑎𝑟−𝐵𝑎𝑠𝑒 𝑌𝑒𝑎𝑟)/(𝐵𝑎𝑠𝑒 𝑌𝑒𝑎𝑟)  </a:t>
              </a:r>
              <a:r>
                <a:rPr lang="en-US" sz="1100" i="0">
                  <a:latin typeface="Cambria Math" panose="02040503050406030204" pitchFamily="18" charset="0"/>
                  <a:ea typeface="Cambria Math" panose="02040503050406030204" pitchFamily="18" charset="0"/>
                </a:rPr>
                <a:t>×</a:t>
              </a:r>
              <a:r>
                <a:rPr lang="en-US" sz="1100" b="0" i="0">
                  <a:latin typeface="Cambria Math" panose="02040503050406030204" pitchFamily="18" charset="0"/>
                  <a:ea typeface="Cambria Math" panose="02040503050406030204" pitchFamily="18" charset="0"/>
                </a:rPr>
                <a:t> 100</a:t>
              </a:r>
              <a:endParaRPr lang="en-US" sz="1100"/>
            </a:p>
          </xdr:txBody>
        </xdr:sp>
      </mc:Fallback>
    </mc:AlternateContent>
    <xdr:clientData/>
  </xdr:twoCellAnchor>
  <xdr:twoCellAnchor>
    <xdr:from>
      <xdr:col>1</xdr:col>
      <xdr:colOff>135467</xdr:colOff>
      <xdr:row>52</xdr:row>
      <xdr:rowOff>42333</xdr:rowOff>
    </xdr:from>
    <xdr:to>
      <xdr:col>12</xdr:col>
      <xdr:colOff>639560</xdr:colOff>
      <xdr:row>58</xdr:row>
      <xdr:rowOff>167216</xdr:rowOff>
    </xdr:to>
    <xdr:sp macro="" textlink="">
      <xdr:nvSpPr>
        <xdr:cNvPr id="4" name="TextBox 3">
          <a:extLst>
            <a:ext uri="{FF2B5EF4-FFF2-40B4-BE49-F238E27FC236}">
              <a16:creationId xmlns:a16="http://schemas.microsoft.com/office/drawing/2014/main" id="{99C2A0D4-2A7A-8546-838E-7033D0216386}"/>
            </a:ext>
          </a:extLst>
        </xdr:cNvPr>
        <xdr:cNvSpPr txBox="1"/>
      </xdr:nvSpPr>
      <xdr:spPr>
        <a:xfrm>
          <a:off x="965852" y="10602871"/>
          <a:ext cx="7772400" cy="13558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8. Based on questions 5-7, which company is performing better?</a:t>
          </a:r>
          <a:r>
            <a:rPr lang="en-US" sz="1100" b="1" baseline="0"/>
            <a:t> Explain.</a:t>
          </a:r>
        </a:p>
        <a:p>
          <a:endParaRPr lang="en-US" sz="1100" baseline="0"/>
        </a:p>
        <a:p>
          <a:r>
            <a:rPr lang="en-US" sz="1100" baseline="0"/>
            <a:t>Begin answer here:  On all three counts Kohl's is performing better since drop is small in sales, stronger improvemnent in gross margin and higher growth in Net Income as compare to Macy's. Both companies are recording less sales in 2023 but Kohl's sales are declining at a slower rate. With respect to gross margin </a:t>
          </a:r>
          <a:r>
            <a:rPr lang="en-US"/>
            <a:t>Kohl’s is finding ways to </a:t>
          </a:r>
          <a:r>
            <a:rPr lang="en-US" b="0"/>
            <a:t>cut costs, negotiate better prices, or sell products at a better margin,</a:t>
          </a:r>
          <a:r>
            <a:rPr lang="en-US"/>
            <a:t> while Macy’s is improving but not as aggressively.  With respect to Net Income,</a:t>
          </a:r>
          <a:r>
            <a:rPr lang="en-US" baseline="0"/>
            <a:t> Macy's is struggling to stay profitable while Kohl's went from being in debt to generating significant Net Income.</a:t>
          </a:r>
          <a:endParaRPr lang="en-US" sz="1100"/>
        </a:p>
      </xdr:txBody>
    </xdr:sp>
    <xdr:clientData/>
  </xdr:twoCellAnchor>
  <xdr:twoCellAnchor>
    <xdr:from>
      <xdr:col>1</xdr:col>
      <xdr:colOff>142466</xdr:colOff>
      <xdr:row>63</xdr:row>
      <xdr:rowOff>44359</xdr:rowOff>
    </xdr:from>
    <xdr:to>
      <xdr:col>15</xdr:col>
      <xdr:colOff>297016</xdr:colOff>
      <xdr:row>76</xdr:row>
      <xdr:rowOff>163871</xdr:rowOff>
    </xdr:to>
    <xdr:sp macro="" textlink="">
      <xdr:nvSpPr>
        <xdr:cNvPr id="5" name="TextBox 4">
          <a:extLst>
            <a:ext uri="{FF2B5EF4-FFF2-40B4-BE49-F238E27FC236}">
              <a16:creationId xmlns:a16="http://schemas.microsoft.com/office/drawing/2014/main" id="{CAB2B63D-9F65-204E-83F7-72C9E7367620}"/>
            </a:ext>
          </a:extLst>
        </xdr:cNvPr>
        <xdr:cNvSpPr txBox="1"/>
      </xdr:nvSpPr>
      <xdr:spPr>
        <a:xfrm>
          <a:off x="982305" y="12447343"/>
          <a:ext cx="10078985" cy="26492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9. Estimates. What does the company say about estimates? Name at least one account that the company has that would use estimates.</a:t>
          </a:r>
          <a:endParaRPr lang="en-US" sz="1100" b="0" baseline="0"/>
        </a:p>
        <a:p>
          <a:r>
            <a:rPr lang="en-US" sz="1100" b="1" baseline="0"/>
            <a:t>Macy's:</a:t>
          </a:r>
        </a:p>
        <a:p>
          <a:r>
            <a:rPr lang="en-US" sz="1100" b="0" baseline="0"/>
            <a:t>Answer found on page:  45</a:t>
          </a:r>
        </a:p>
        <a:p>
          <a:r>
            <a:rPr lang="en-US" sz="1100" b="0" baseline="0"/>
            <a:t>Begin answer here: </a:t>
          </a:r>
          <a:r>
            <a:rPr lang="en-US"/>
            <a:t>Financial statements prepared under </a:t>
          </a:r>
          <a:r>
            <a:rPr lang="en-US" b="1"/>
            <a:t>U.S. GAAP</a:t>
          </a:r>
          <a:r>
            <a:rPr lang="en-US"/>
            <a:t> require </a:t>
          </a:r>
          <a:r>
            <a:rPr lang="en-US" b="1"/>
            <a:t>management to make estimates and assumptions</a:t>
          </a:r>
          <a:r>
            <a:rPr lang="en-US"/>
            <a:t> that impact reported figures for assets, liabilities, revenues, and expenses. These estimates involve </a:t>
          </a:r>
          <a:r>
            <a:rPr lang="en-US" b="1"/>
            <a:t>uncertainties</a:t>
          </a:r>
          <a:r>
            <a:rPr lang="en-US"/>
            <a:t>, meaning actual results may differ from what is reported.</a:t>
          </a:r>
          <a:endParaRPr lang="en-US" sz="1100" b="0" baseline="0"/>
        </a:p>
        <a:p>
          <a:endParaRPr lang="en-US" sz="1100" b="0" baseline="0"/>
        </a:p>
        <a:p>
          <a:r>
            <a:rPr lang="en-US" sz="1100" b="0" baseline="0"/>
            <a:t>List account(s) here:  Goodwill, Other Intangible Assets</a:t>
          </a:r>
        </a:p>
        <a:p>
          <a:endParaRPr lang="en-US" sz="1100" b="0" baseline="0"/>
        </a:p>
        <a:p>
          <a:r>
            <a:rPr lang="en-US" sz="1100" b="1" baseline="0"/>
            <a:t>Kohl's</a:t>
          </a:r>
          <a:r>
            <a:rPr lang="en-US" sz="1100" b="0" baseline="0"/>
            <a:t>:</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t>Answer found on page: 43</a:t>
          </a:r>
        </a:p>
        <a:p>
          <a:r>
            <a:rPr lang="en-US" sz="1100" b="0" baseline="0"/>
            <a:t>Begin answer here: </a:t>
          </a:r>
          <a:r>
            <a:rPr lang="en-US"/>
            <a:t>The preparation of Consolidated Financial Statements in conformity with U.S. GAAP requires management to make </a:t>
          </a:r>
        </a:p>
        <a:p>
          <a:r>
            <a:rPr lang="en-US"/>
            <a:t>estimates and assumptions that affect the amounts reported in the Consolidated Financial Statements and </a:t>
          </a:r>
          <a:r>
            <a:rPr lang="en-US" baseline="0"/>
            <a:t> </a:t>
          </a:r>
          <a:r>
            <a:rPr lang="en-US"/>
            <a:t>accompanying notes. Actual results could differ from those estimates.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baseline="0">
            <a:solidFill>
              <a:srgbClr val="FF0000"/>
            </a:solidFill>
          </a:endParaRPr>
        </a:p>
        <a:p>
          <a:r>
            <a:rPr lang="en-US" sz="1100" b="0" baseline="0"/>
            <a:t>List account(s) here: </a:t>
          </a:r>
          <a:r>
            <a:rPr lang="en-US"/>
            <a:t>Depreciation and amortization</a:t>
          </a:r>
          <a:endParaRPr lang="en-US" sz="1100" b="1" baseline="0">
            <a:solidFill>
              <a:srgbClr val="FF0000"/>
            </a:solidFill>
          </a:endParaRPr>
        </a:p>
        <a:p>
          <a:endParaRPr lang="en-US" sz="1100" b="1" baseline="0"/>
        </a:p>
        <a:p>
          <a:r>
            <a:rPr lang="en-US" sz="1100" b="1" baseline="0"/>
            <a:t> </a:t>
          </a:r>
          <a:endParaRPr lang="en-US" sz="1100" baseline="0"/>
        </a:p>
      </xdr:txBody>
    </xdr:sp>
    <xdr:clientData/>
  </xdr:twoCellAnchor>
  <xdr:twoCellAnchor>
    <xdr:from>
      <xdr:col>15</xdr:col>
      <xdr:colOff>474444</xdr:colOff>
      <xdr:row>62</xdr:row>
      <xdr:rowOff>153629</xdr:rowOff>
    </xdr:from>
    <xdr:to>
      <xdr:col>25</xdr:col>
      <xdr:colOff>276533</xdr:colOff>
      <xdr:row>76</xdr:row>
      <xdr:rowOff>174113</xdr:rowOff>
    </xdr:to>
    <xdr:sp macro="" textlink="">
      <xdr:nvSpPr>
        <xdr:cNvPr id="6" name="TextBox 5">
          <a:extLst>
            <a:ext uri="{FF2B5EF4-FFF2-40B4-BE49-F238E27FC236}">
              <a16:creationId xmlns:a16="http://schemas.microsoft.com/office/drawing/2014/main" id="{C62F5B07-621B-B84D-A954-75C0D26FC547}"/>
            </a:ext>
          </a:extLst>
        </xdr:cNvPr>
        <xdr:cNvSpPr txBox="1"/>
      </xdr:nvSpPr>
      <xdr:spPr>
        <a:xfrm>
          <a:off x="11238718" y="12362016"/>
          <a:ext cx="8200476" cy="2744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10. Cost of goods sold. What items are included in costs for the company?</a:t>
          </a:r>
        </a:p>
        <a:p>
          <a:endParaRPr lang="en-US" sz="1100" b="0" baseline="0"/>
        </a:p>
        <a:p>
          <a:r>
            <a:rPr lang="en-US" sz="1100" b="1" baseline="0"/>
            <a:t>Macy's</a:t>
          </a:r>
          <a:r>
            <a:rPr lang="en-US" sz="1100" b="0" baseline="0"/>
            <a:t>:  45</a:t>
          </a:r>
        </a:p>
        <a:p>
          <a:r>
            <a:rPr lang="en-US" sz="1100" b="0" baseline="0"/>
            <a:t>Answer found on page: </a:t>
          </a:r>
        </a:p>
        <a:p>
          <a:r>
            <a:rPr lang="en-US" sz="1100" b="0" baseline="0"/>
            <a:t>List items here:  Cost of sales consists of the cost of merchandise, including inbound freight, shipping and handling costs, and certain depreciation. An estimated allowance for future sales returns is recorded and cost of sales is adjusted accordingly.</a:t>
          </a:r>
        </a:p>
        <a:p>
          <a:endParaRPr lang="en-US" sz="1100" b="0" baseline="0"/>
        </a:p>
        <a:p>
          <a:r>
            <a:rPr lang="en-US" sz="1100" b="1" baseline="0"/>
            <a:t>Kohl's</a:t>
          </a:r>
          <a:r>
            <a:rPr lang="en-US" sz="1100" b="0" baseline="0"/>
            <a:t>:</a:t>
          </a:r>
        </a:p>
        <a:p>
          <a:r>
            <a:rPr lang="en-US" sz="1100" b="0" baseline="0"/>
            <a:t>Answer found on page:  47</a:t>
          </a:r>
          <a:endParaRPr lang="en-US" sz="1100" b="0" baseline="0">
            <a:solidFill>
              <a:srgbClr val="FF0000"/>
            </a:solidFill>
          </a:endParaRPr>
        </a:p>
        <a:p>
          <a:r>
            <a:rPr lang="en-US" sz="1100" b="0" baseline="0"/>
            <a:t>List items here: </a:t>
          </a:r>
          <a:r>
            <a:rPr lang="en-US" sz="1100" b="1" baseline="0"/>
            <a:t> </a:t>
          </a:r>
          <a:r>
            <a:rPr lang="en-US"/>
            <a:t>Total cost of products sold including product development costs, net of vendor payments other than reimbursement of specific, incremental, and identifiable costs • Inventory shrink • Markdowns • Freight expenses associated with moving merchandise from our vendors to our distribution centers • Shipping expenses for digital sales • Terms cash discount</a:t>
          </a:r>
          <a:endParaRPr lang="en-US" sz="1100" baseline="0"/>
        </a:p>
      </xdr:txBody>
    </xdr:sp>
    <xdr:clientData/>
  </xdr:twoCellAnchor>
  <xdr:twoCellAnchor>
    <xdr:from>
      <xdr:col>1</xdr:col>
      <xdr:colOff>160704</xdr:colOff>
      <xdr:row>88</xdr:row>
      <xdr:rowOff>83366</xdr:rowOff>
    </xdr:from>
    <xdr:to>
      <xdr:col>12</xdr:col>
      <xdr:colOff>664797</xdr:colOff>
      <xdr:row>99</xdr:row>
      <xdr:rowOff>127815</xdr:rowOff>
    </xdr:to>
    <xdr:sp macro="" textlink="">
      <xdr:nvSpPr>
        <xdr:cNvPr id="7" name="TextBox 6">
          <a:extLst>
            <a:ext uri="{FF2B5EF4-FFF2-40B4-BE49-F238E27FC236}">
              <a16:creationId xmlns:a16="http://schemas.microsoft.com/office/drawing/2014/main" id="{BBF7DF37-64CB-394F-9476-E484625FD8BE}"/>
            </a:ext>
          </a:extLst>
        </xdr:cNvPr>
        <xdr:cNvSpPr txBox="1"/>
      </xdr:nvSpPr>
      <xdr:spPr>
        <a:xfrm>
          <a:off x="991089" y="18029443"/>
          <a:ext cx="7928708" cy="23011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11. What is the advertising/marketing expense for the company? What type of advertising does the company do?</a:t>
          </a:r>
          <a:endParaRPr lang="en-US" sz="1100" b="0" baseline="0"/>
        </a:p>
        <a:p>
          <a:endParaRPr lang="en-US" sz="1100" b="1" baseline="0"/>
        </a:p>
        <a:p>
          <a:r>
            <a:rPr lang="en-US" sz="1100" b="1" baseline="0"/>
            <a:t>Macy's</a:t>
          </a:r>
          <a:r>
            <a:rPr lang="en-US" sz="1100" b="0" baseline="0"/>
            <a:t>:</a:t>
          </a:r>
        </a:p>
        <a:p>
          <a:r>
            <a:rPr lang="en-US" sz="1100" b="0" baseline="0">
              <a:solidFill>
                <a:schemeClr val="dk1"/>
              </a:solidFill>
              <a:effectLst/>
              <a:latin typeface="+mn-lt"/>
              <a:ea typeface="+mn-ea"/>
              <a:cs typeface="+mn-cs"/>
            </a:rPr>
            <a:t>Answer found on page: 47</a:t>
          </a:r>
          <a:endParaRPr lang="en-US">
            <a:effectLst/>
          </a:endParaRPr>
        </a:p>
        <a:p>
          <a:r>
            <a:rPr lang="en-US" sz="1100" b="0" baseline="0">
              <a:solidFill>
                <a:schemeClr val="dk1"/>
              </a:solidFill>
              <a:effectLst/>
              <a:latin typeface="+mn-lt"/>
              <a:ea typeface="+mn-ea"/>
              <a:cs typeface="+mn-cs"/>
            </a:rPr>
            <a:t>advertising/marketing expense = $1,210 million</a:t>
          </a:r>
          <a:endParaRPr lang="en-US">
            <a:effectLst/>
          </a:endParaRPr>
        </a:p>
        <a:p>
          <a:r>
            <a:rPr lang="en-US" sz="1100" b="0" baseline="0">
              <a:solidFill>
                <a:schemeClr val="dk1"/>
              </a:solidFill>
              <a:effectLst/>
              <a:latin typeface="+mn-lt"/>
              <a:ea typeface="+mn-ea"/>
              <a:cs typeface="+mn-cs"/>
            </a:rPr>
            <a:t>Type of advertising: Cooperative advertising</a:t>
          </a:r>
          <a:endParaRPr lang="en-US">
            <a:effectLst/>
          </a:endParaRPr>
        </a:p>
        <a:p>
          <a:endParaRPr lang="en-US" sz="1100" b="1" baseline="0"/>
        </a:p>
        <a:p>
          <a:r>
            <a:rPr lang="en-US" sz="1100" b="1" baseline="0"/>
            <a:t>Kohl's</a:t>
          </a:r>
          <a:r>
            <a:rPr lang="en-US" sz="1100" b="0" baseline="0"/>
            <a:t>:</a:t>
          </a:r>
        </a:p>
        <a:p>
          <a:r>
            <a:rPr lang="en-US" sz="1100" b="0" baseline="0">
              <a:solidFill>
                <a:schemeClr val="dk1"/>
              </a:solidFill>
              <a:effectLst/>
              <a:latin typeface="+mn-lt"/>
              <a:ea typeface="+mn-ea"/>
              <a:cs typeface="+mn-cs"/>
            </a:rPr>
            <a:t>Answer found on page: 48</a:t>
          </a:r>
          <a:endParaRPr lang="en-US">
            <a:effectLst/>
          </a:endParaRPr>
        </a:p>
        <a:p>
          <a:r>
            <a:rPr lang="en-US" sz="1100" b="0" baseline="0">
              <a:solidFill>
                <a:schemeClr val="dk1"/>
              </a:solidFill>
              <a:effectLst/>
              <a:latin typeface="+mn-lt"/>
              <a:ea typeface="+mn-ea"/>
              <a:cs typeface="+mn-cs"/>
            </a:rPr>
            <a:t>advertising/marketing expense = $839 million</a:t>
          </a:r>
          <a:endParaRPr lang="en-US">
            <a:effectLst/>
          </a:endParaRPr>
        </a:p>
        <a:p>
          <a:r>
            <a:rPr lang="en-US" sz="1100" b="0" baseline="0">
              <a:solidFill>
                <a:schemeClr val="dk1"/>
              </a:solidFill>
              <a:effectLst/>
              <a:latin typeface="+mn-lt"/>
              <a:ea typeface="+mn-ea"/>
              <a:cs typeface="+mn-cs"/>
            </a:rPr>
            <a:t>Type of advertising:  Email marketing</a:t>
          </a:r>
          <a:endParaRPr lang="en-US">
            <a:effectLst/>
          </a:endParaRPr>
        </a:p>
        <a:p>
          <a:endParaRPr lang="en-US" sz="1100" b="1" baseline="0"/>
        </a:p>
        <a:p>
          <a:r>
            <a:rPr lang="en-US" sz="1100" b="1" baseline="0"/>
            <a:t> </a:t>
          </a:r>
          <a:endParaRPr lang="en-US" sz="1100" baseline="0"/>
        </a:p>
      </xdr:txBody>
    </xdr:sp>
    <xdr:clientData/>
  </xdr:twoCellAnchor>
  <xdr:twoCellAnchor>
    <xdr:from>
      <xdr:col>1</xdr:col>
      <xdr:colOff>183664</xdr:colOff>
      <xdr:row>100</xdr:row>
      <xdr:rowOff>13516</xdr:rowOff>
    </xdr:from>
    <xdr:to>
      <xdr:col>12</xdr:col>
      <xdr:colOff>687757</xdr:colOff>
      <xdr:row>108</xdr:row>
      <xdr:rowOff>170149</xdr:rowOff>
    </xdr:to>
    <xdr:sp macro="" textlink="">
      <xdr:nvSpPr>
        <xdr:cNvPr id="8" name="TextBox 7">
          <a:extLst>
            <a:ext uri="{FF2B5EF4-FFF2-40B4-BE49-F238E27FC236}">
              <a16:creationId xmlns:a16="http://schemas.microsoft.com/office/drawing/2014/main" id="{69B9451E-89CC-F248-B9BA-B7B4739A1753}"/>
            </a:ext>
          </a:extLst>
        </xdr:cNvPr>
        <xdr:cNvSpPr txBox="1"/>
      </xdr:nvSpPr>
      <xdr:spPr>
        <a:xfrm>
          <a:off x="1014049" y="20421439"/>
          <a:ext cx="7928708" cy="17978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12. What method(s) of depreciation does the company use for financial statements?</a:t>
          </a:r>
          <a:endParaRPr lang="en-US" sz="1100" b="0" baseline="0"/>
        </a:p>
        <a:p>
          <a:endParaRPr lang="en-US" sz="1100" b="1" baseline="0"/>
        </a:p>
        <a:p>
          <a:r>
            <a:rPr lang="en-US" sz="1100" b="1" baseline="0"/>
            <a:t>Mayc's</a:t>
          </a:r>
          <a:r>
            <a:rPr lang="en-US" sz="1100" b="0" baseline="0"/>
            <a:t>:</a:t>
          </a:r>
        </a:p>
        <a:p>
          <a:r>
            <a:rPr lang="en-US" sz="1100" b="0" baseline="0"/>
            <a:t>Answer found on page: 47</a:t>
          </a:r>
        </a:p>
        <a:p>
          <a:r>
            <a:rPr lang="en-US" sz="1100" b="0" baseline="0"/>
            <a:t>Method(s):  Straight Line Method</a:t>
          </a:r>
        </a:p>
        <a:p>
          <a:endParaRPr lang="en-US" sz="1100" b="1" baseline="0"/>
        </a:p>
        <a:p>
          <a:r>
            <a:rPr lang="en-US" sz="1100" b="1" baseline="0"/>
            <a:t>Kohl's</a:t>
          </a:r>
          <a:r>
            <a:rPr lang="en-US" sz="1100" b="0" baseline="0"/>
            <a:t>:</a:t>
          </a:r>
        </a:p>
        <a:p>
          <a:r>
            <a:rPr lang="en-US" sz="1100" b="0" baseline="0"/>
            <a:t>Answer found on page: 44</a:t>
          </a:r>
          <a:endParaRPr lang="en-US" sz="1100" b="0" baseline="0">
            <a:solidFill>
              <a:srgbClr val="FF0000"/>
            </a:solidFill>
          </a:endParaRPr>
        </a:p>
        <a:p>
          <a:r>
            <a:rPr lang="en-US" sz="1100" b="0" baseline="0"/>
            <a:t>Method(s):  Straight Line Method</a:t>
          </a:r>
          <a:endParaRPr lang="en-US" sz="1100" b="0" baseline="0">
            <a:solidFill>
              <a:srgbClr val="FF0000"/>
            </a:solidFill>
          </a:endParaRPr>
        </a:p>
        <a:p>
          <a:endParaRPr lang="en-US" sz="1100" b="1" baseline="0"/>
        </a:p>
        <a:p>
          <a:r>
            <a:rPr lang="en-US" sz="1100" b="1" baseline="0"/>
            <a:t> </a:t>
          </a:r>
          <a:endParaRPr lang="en-US" sz="1100" baseline="0"/>
        </a:p>
      </xdr:txBody>
    </xdr:sp>
    <xdr:clientData/>
  </xdr:twoCellAnchor>
  <xdr:twoCellAnchor>
    <xdr:from>
      <xdr:col>1</xdr:col>
      <xdr:colOff>196851</xdr:colOff>
      <xdr:row>109</xdr:row>
      <xdr:rowOff>68222</xdr:rowOff>
    </xdr:from>
    <xdr:to>
      <xdr:col>12</xdr:col>
      <xdr:colOff>700944</xdr:colOff>
      <xdr:row>118</xdr:row>
      <xdr:rowOff>68384</xdr:rowOff>
    </xdr:to>
    <xdr:sp macro="" textlink="">
      <xdr:nvSpPr>
        <xdr:cNvPr id="9" name="TextBox 8">
          <a:extLst>
            <a:ext uri="{FF2B5EF4-FFF2-40B4-BE49-F238E27FC236}">
              <a16:creationId xmlns:a16="http://schemas.microsoft.com/office/drawing/2014/main" id="{178C1AF6-33DE-6F48-B78B-60884C268854}"/>
            </a:ext>
          </a:extLst>
        </xdr:cNvPr>
        <xdr:cNvSpPr txBox="1"/>
      </xdr:nvSpPr>
      <xdr:spPr>
        <a:xfrm>
          <a:off x="1027236" y="22322530"/>
          <a:ext cx="7928708" cy="18465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13. Inventory. What method does the company use to account for inventory costs? (Note: retail is a form of LIFO.)</a:t>
          </a:r>
          <a:endParaRPr lang="en-US" sz="1100" b="0" baseline="0"/>
        </a:p>
        <a:p>
          <a:endParaRPr lang="en-US" sz="1100" b="1" baseline="0"/>
        </a:p>
        <a:p>
          <a:r>
            <a:rPr lang="en-US" sz="1100" b="1" baseline="0"/>
            <a:t>Mayc's</a:t>
          </a:r>
          <a:r>
            <a:rPr lang="en-US" sz="1100" b="0" baseline="0"/>
            <a:t>:</a:t>
          </a:r>
        </a:p>
        <a:p>
          <a:r>
            <a:rPr lang="en-US" sz="1100" b="0" baseline="0"/>
            <a:t>Answer found on page: 46</a:t>
          </a:r>
        </a:p>
        <a:p>
          <a:r>
            <a:rPr lang="en-US" sz="1100" b="0" baseline="0"/>
            <a:t>Method:  LIFO retail inventory method</a:t>
          </a:r>
        </a:p>
        <a:p>
          <a:endParaRPr lang="en-US" sz="1100" b="1" baseline="0"/>
        </a:p>
        <a:p>
          <a:r>
            <a:rPr lang="en-US" sz="1100" b="1" baseline="0"/>
            <a:t>Kohl's</a:t>
          </a:r>
          <a:r>
            <a:rPr lang="en-US" sz="1100" b="0" baseline="0"/>
            <a:t>:</a:t>
          </a:r>
        </a:p>
        <a:p>
          <a:r>
            <a:rPr lang="en-US" sz="1100" b="0" baseline="0"/>
            <a:t>Answer found on page: 43</a:t>
          </a:r>
          <a:endParaRPr lang="en-US" sz="1100" b="0" baseline="0">
            <a:solidFill>
              <a:srgbClr val="FF0000"/>
            </a:solidFill>
          </a:endParaRPr>
        </a:p>
        <a:p>
          <a:r>
            <a:rPr lang="en-US" sz="1100" b="0" baseline="0"/>
            <a:t>Method:  Average Cost Method</a:t>
          </a:r>
          <a:endParaRPr lang="en-US" sz="1100" b="0" baseline="0">
            <a:solidFill>
              <a:srgbClr val="FF0000"/>
            </a:solidFill>
          </a:endParaRPr>
        </a:p>
        <a:p>
          <a:endParaRPr lang="en-US" sz="1100" b="1" baseline="0"/>
        </a:p>
        <a:p>
          <a:r>
            <a:rPr lang="en-US" sz="1100" b="1" baseline="0"/>
            <a:t> </a:t>
          </a:r>
          <a:endParaRPr lang="en-US" sz="1100" baseline="0"/>
        </a:p>
      </xdr:txBody>
    </xdr:sp>
    <xdr:clientData/>
  </xdr:twoCellAnchor>
  <xdr:twoCellAnchor>
    <xdr:from>
      <xdr:col>1</xdr:col>
      <xdr:colOff>147203</xdr:colOff>
      <xdr:row>126</xdr:row>
      <xdr:rowOff>21166</xdr:rowOff>
    </xdr:from>
    <xdr:to>
      <xdr:col>19</xdr:col>
      <xdr:colOff>273707</xdr:colOff>
      <xdr:row>141</xdr:row>
      <xdr:rowOff>131379</xdr:rowOff>
    </xdr:to>
    <xdr:sp macro="" textlink="">
      <xdr:nvSpPr>
        <xdr:cNvPr id="10" name="TextBox 9">
          <a:extLst>
            <a:ext uri="{FF2B5EF4-FFF2-40B4-BE49-F238E27FC236}">
              <a16:creationId xmlns:a16="http://schemas.microsoft.com/office/drawing/2014/main" id="{0D2A2129-FF9D-0F4A-BF55-6F36A6C481F3}"/>
            </a:ext>
          </a:extLst>
        </xdr:cNvPr>
        <xdr:cNvSpPr txBox="1"/>
      </xdr:nvSpPr>
      <xdr:spPr>
        <a:xfrm>
          <a:off x="990220" y="24994183"/>
          <a:ext cx="13527194" cy="30662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15. Locate the footnote disclosure for commitments/contingencies/leases/rent. Briefly explain what a contingency is (asset or liability?) and summarize the footnote.</a:t>
          </a:r>
        </a:p>
        <a:p>
          <a:endParaRPr lang="en-US" sz="1100" b="1" baseline="0"/>
        </a:p>
        <a:p>
          <a:r>
            <a:rPr lang="en-US" sz="1100" b="1" baseline="0"/>
            <a:t>Mayc's</a:t>
          </a:r>
          <a:r>
            <a:rPr lang="en-US" sz="1100" b="0" baseline="0"/>
            <a:t>:</a:t>
          </a:r>
        </a:p>
        <a:p>
          <a:r>
            <a:rPr lang="en-US" sz="1100" b="0" baseline="0"/>
            <a:t>Answer found on page: 72</a:t>
          </a:r>
        </a:p>
        <a:p>
          <a:r>
            <a:rPr lang="en-US" sz="1100" b="0" baseline="0"/>
            <a:t>What a contingency is: </a:t>
          </a:r>
          <a:r>
            <a:rPr lang="en-US" sz="1100" b="0" i="0">
              <a:solidFill>
                <a:schemeClr val="dk1"/>
              </a:solidFill>
              <a:effectLst/>
              <a:latin typeface="+mn-lt"/>
              <a:ea typeface="+mn-ea"/>
              <a:cs typeface="+mn-cs"/>
            </a:rPr>
            <a:t>A contingency represents a potential future asset or liability that hinges on uncertain events. In this context, the outcome creates a future obligation, making it a liability.</a:t>
          </a:r>
          <a:endParaRPr lang="en-US" sz="1100" b="0" baseline="0"/>
        </a:p>
        <a:p>
          <a:r>
            <a:rPr lang="en-US" sz="1100" b="0" baseline="0"/>
            <a:t>Summary:  </a:t>
          </a:r>
          <a:r>
            <a:rPr lang="en-US" sz="1100" b="0" i="0">
              <a:solidFill>
                <a:schemeClr val="dk1"/>
              </a:solidFill>
              <a:effectLst/>
              <a:latin typeface="+mn-lt"/>
              <a:ea typeface="+mn-ea"/>
              <a:cs typeface="+mn-cs"/>
            </a:rPr>
            <a:t>The disclosure outlines the company's purchase commitments totaling approximately $2.8 billion as of February 3, 2024. These obligations, which include merchandise, outsourcing, software licenses, and construction contracts, are mostly due within a year and recorded as liabilities upon delivery of goods or services. The amounts fluctuate seasonally, peaking in summer and early fall and declining in late winter and early spring. Notably, a significant portion of purchases occur under non-binding arrangements, providing greater flexibility.</a:t>
          </a:r>
          <a:endParaRPr lang="en-US" sz="1100" b="0" baseline="0"/>
        </a:p>
        <a:p>
          <a:endParaRPr lang="en-US" sz="1100" b="1" baseline="0"/>
        </a:p>
        <a:p>
          <a:r>
            <a:rPr lang="en-US" sz="1100" b="1" baseline="0"/>
            <a:t>Kohl's</a:t>
          </a:r>
          <a:r>
            <a:rPr lang="en-US" sz="1100" b="0" baseline="0"/>
            <a:t>:</a:t>
          </a:r>
        </a:p>
        <a:p>
          <a:r>
            <a:rPr lang="en-US" sz="1100" b="0" baseline="0"/>
            <a:t>Answer found on page:  57-58</a:t>
          </a:r>
          <a:endParaRPr lang="en-US" sz="1100" b="0" baseline="0">
            <a:solidFill>
              <a:srgbClr val="FF0000"/>
            </a:solidFill>
          </a:endParaRPr>
        </a:p>
        <a:p>
          <a:r>
            <a:rPr lang="en-US" sz="1100" b="0" baseline="0"/>
            <a:t>What a contingency is:  </a:t>
          </a:r>
          <a:r>
            <a:rPr lang="en-US" sz="1100" b="0" i="0">
              <a:solidFill>
                <a:schemeClr val="dk1"/>
              </a:solidFill>
              <a:effectLst/>
              <a:latin typeface="+mn-lt"/>
              <a:ea typeface="+mn-ea"/>
              <a:cs typeface="+mn-cs"/>
            </a:rPr>
            <a:t>A contingency is a potential liability or asset stemming from past events, with the outcome dependent on future uncertainties. Liability contingencies, such as lawsuits, are recognized if losses are probable and estimable; otherwise, they are disclosed in footnotes. Asset contingencies are only recorded when realization is nearly certain. In</a:t>
          </a:r>
          <a:r>
            <a:rPr lang="en-US" sz="1100" b="0" i="0" baseline="0">
              <a:solidFill>
                <a:schemeClr val="dk1"/>
              </a:solidFill>
              <a:effectLst/>
              <a:latin typeface="+mn-lt"/>
              <a:ea typeface="+mn-ea"/>
              <a:cs typeface="+mn-cs"/>
            </a:rPr>
            <a:t> this case it can be considered liability.</a:t>
          </a:r>
          <a:endParaRPr lang="en-US" sz="1100" b="0" i="0">
            <a:solidFill>
              <a:schemeClr val="dk1"/>
            </a:solidFill>
            <a:effectLst/>
            <a:latin typeface="+mn-lt"/>
            <a:ea typeface="+mn-ea"/>
            <a:cs typeface="+mn-cs"/>
          </a:endParaRPr>
        </a:p>
        <a:p>
          <a:endParaRPr lang="en-US" sz="1100" b="0" baseline="0">
            <a:solidFill>
              <a:srgbClr val="FF0000"/>
            </a:solidFill>
          </a:endParaRPr>
        </a:p>
        <a:p>
          <a:r>
            <a:rPr lang="en-US" sz="1100" b="0" baseline="0"/>
            <a:t>Summary: </a:t>
          </a:r>
          <a:r>
            <a:rPr lang="en-US" sz="1100" b="1" baseline="0"/>
            <a:t> </a:t>
          </a:r>
          <a:r>
            <a:rPr lang="en-US" sz="1100" b="0" i="0">
              <a:solidFill>
                <a:schemeClr val="dk1"/>
              </a:solidFill>
              <a:effectLst/>
              <a:latin typeface="+mn-lt"/>
              <a:ea typeface="+mn-ea"/>
              <a:cs typeface="+mn-cs"/>
            </a:rPr>
            <a:t>The footnote outlines a class-action lawsuit against Kohl’s, alleging securities law violations due to misleading statements about its strategic plan and financial controls (August 2021–July 2022). The case remains in early stages, with Kohl’s seeking dismissal. No financial impact can yet be estimated, but management believes the outcome won’t materially affect financials. Other routine legal matters are also noted, with no expected material adverse effects.</a:t>
          </a:r>
          <a:endParaRPr lang="en-US" sz="1100" baseline="0"/>
        </a:p>
      </xdr:txBody>
    </xdr:sp>
    <xdr:clientData/>
  </xdr:twoCellAnchor>
  <xdr:twoCellAnchor>
    <xdr:from>
      <xdr:col>1</xdr:col>
      <xdr:colOff>154175</xdr:colOff>
      <xdr:row>142</xdr:row>
      <xdr:rowOff>157654</xdr:rowOff>
    </xdr:from>
    <xdr:to>
      <xdr:col>12</xdr:col>
      <xdr:colOff>658268</xdr:colOff>
      <xdr:row>152</xdr:row>
      <xdr:rowOff>161636</xdr:rowOff>
    </xdr:to>
    <xdr:sp macro="" textlink="">
      <xdr:nvSpPr>
        <xdr:cNvPr id="11" name="TextBox 10">
          <a:extLst>
            <a:ext uri="{FF2B5EF4-FFF2-40B4-BE49-F238E27FC236}">
              <a16:creationId xmlns:a16="http://schemas.microsoft.com/office/drawing/2014/main" id="{8D1464A6-5D0C-FD42-9955-D1AFAF6452FF}"/>
            </a:ext>
          </a:extLst>
        </xdr:cNvPr>
        <xdr:cNvSpPr txBox="1"/>
      </xdr:nvSpPr>
      <xdr:spPr>
        <a:xfrm>
          <a:off x="985448" y="29575472"/>
          <a:ext cx="7916275" cy="20821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16. Locate the footnote on Segments.</a:t>
          </a:r>
        </a:p>
        <a:p>
          <a:endParaRPr lang="en-US" sz="1100" b="1" baseline="0"/>
        </a:p>
        <a:p>
          <a:r>
            <a:rPr lang="en-US" sz="1100" b="1" baseline="0"/>
            <a:t>Mayc's</a:t>
          </a:r>
          <a:r>
            <a:rPr lang="en-US" sz="1100" b="0" baseline="0"/>
            <a:t>:</a:t>
          </a:r>
        </a:p>
        <a:p>
          <a:r>
            <a:rPr lang="en-US" sz="1100" b="0" baseline="0"/>
            <a:t>Answer found on page: 49</a:t>
          </a:r>
          <a:endParaRPr lang="en-US" sz="1100" b="0" baseline="0">
            <a:solidFill>
              <a:srgbClr val="FF0000"/>
            </a:solidFill>
          </a:endParaRPr>
        </a:p>
        <a:p>
          <a:r>
            <a:rPr lang="en-US" sz="1100" b="0" baseline="0"/>
            <a:t>What are the segments?  N/A</a:t>
          </a:r>
        </a:p>
        <a:p>
          <a:endParaRPr lang="en-US" sz="1100" b="1" baseline="0"/>
        </a:p>
        <a:p>
          <a:r>
            <a:rPr lang="en-US" sz="1100" b="1" baseline="0"/>
            <a:t>Kohl's</a:t>
          </a:r>
          <a:r>
            <a:rPr lang="en-US" sz="1100" b="0" baseline="0"/>
            <a:t>:</a:t>
          </a:r>
        </a:p>
        <a:p>
          <a:r>
            <a:rPr lang="en-US" sz="1100" b="0" baseline="0"/>
            <a:t>Answer found on page: N/A</a:t>
          </a:r>
          <a:endParaRPr lang="en-US" sz="1100" b="0" baseline="0">
            <a:solidFill>
              <a:srgbClr val="FF0000"/>
            </a:solidFill>
          </a:endParaRPr>
        </a:p>
        <a:p>
          <a:r>
            <a:rPr lang="en-US" sz="1100" b="0" baseline="0"/>
            <a:t>What are the segments? N/A</a:t>
          </a:r>
          <a:endParaRPr lang="en-US" sz="1100" b="1" baseline="0">
            <a:solidFill>
              <a:srgbClr val="FF0000"/>
            </a:solidFill>
          </a:endParaRPr>
        </a:p>
        <a:p>
          <a:r>
            <a:rPr lang="en-US" sz="1100" b="1" baseline="0"/>
            <a:t> </a:t>
          </a:r>
          <a:endParaRPr lang="en-US" sz="1100" baseline="0"/>
        </a:p>
      </xdr:txBody>
    </xdr:sp>
    <xdr:clientData/>
  </xdr:twoCellAnchor>
  <xdr:twoCellAnchor>
    <xdr:from>
      <xdr:col>1</xdr:col>
      <xdr:colOff>105492</xdr:colOff>
      <xdr:row>165</xdr:row>
      <xdr:rowOff>61451</xdr:rowOff>
    </xdr:from>
    <xdr:to>
      <xdr:col>11</xdr:col>
      <xdr:colOff>232492</xdr:colOff>
      <xdr:row>173</xdr:row>
      <xdr:rowOff>72718</xdr:rowOff>
    </xdr:to>
    <xdr:sp macro="" textlink="">
      <xdr:nvSpPr>
        <xdr:cNvPr id="12" name="TextBox 11">
          <a:extLst>
            <a:ext uri="{FF2B5EF4-FFF2-40B4-BE49-F238E27FC236}">
              <a16:creationId xmlns:a16="http://schemas.microsoft.com/office/drawing/2014/main" id="{DFAED46C-2DD6-0B44-AFFC-CC49727DBACD}"/>
            </a:ext>
          </a:extLst>
        </xdr:cNvPr>
        <xdr:cNvSpPr txBox="1"/>
      </xdr:nvSpPr>
      <xdr:spPr>
        <a:xfrm>
          <a:off x="945331" y="32323548"/>
          <a:ext cx="6692080" cy="15680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*What is other?</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There is no 'Other' entry in retained earnings in Macy's annual report. </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in Kohl's annual report, the others entry indicates retirement treasury stock.</a:t>
          </a:r>
          <a:endParaRPr lang="en-US">
            <a:effectLst/>
          </a:endParaRPr>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pageSetUpPr fitToPage="1"/>
  </sheetPr>
  <dimension ref="A1:M163"/>
  <sheetViews>
    <sheetView tabSelected="1" topLeftCell="A131" zoomScale="58" zoomScaleNormal="100" workbookViewId="0">
      <selection activeCell="P151" sqref="P151"/>
    </sheetView>
  </sheetViews>
  <sheetFormatPr defaultColWidth="11" defaultRowHeight="15.5" x14ac:dyDescent="0.35"/>
  <cols>
    <col min="2" max="2" width="17.9140625" bestFit="1" customWidth="1"/>
    <col min="3" max="3" width="2.08203125" bestFit="1" customWidth="1"/>
    <col min="4" max="4" width="11.58203125" bestFit="1" customWidth="1"/>
    <col min="5" max="5" width="2.08203125" customWidth="1"/>
    <col min="6" max="6" width="17.9140625" bestFit="1" customWidth="1"/>
    <col min="7" max="7" width="2.08203125" bestFit="1" customWidth="1"/>
    <col min="9" max="9" width="2.08203125" customWidth="1"/>
    <col min="10" max="10" width="17.9140625" bestFit="1" customWidth="1"/>
    <col min="11" max="11" width="2.08203125" bestFit="1" customWidth="1"/>
  </cols>
  <sheetData>
    <row r="1" spans="1:13" ht="18.5" x14ac:dyDescent="0.45">
      <c r="A1" s="10" t="s">
        <v>16</v>
      </c>
      <c r="B1" t="s">
        <v>33</v>
      </c>
    </row>
    <row r="3" spans="1:13" x14ac:dyDescent="0.35">
      <c r="B3" s="33" t="s">
        <v>10</v>
      </c>
      <c r="C3" s="34"/>
      <c r="D3" s="34"/>
      <c r="E3" s="34"/>
      <c r="F3" s="34"/>
      <c r="G3" s="34"/>
      <c r="H3" s="34"/>
      <c r="I3" s="34"/>
      <c r="J3" s="34"/>
      <c r="K3" s="34"/>
      <c r="L3" s="35"/>
    </row>
    <row r="5" spans="1:13" x14ac:dyDescent="0.35">
      <c r="B5" s="33" t="s">
        <v>15</v>
      </c>
      <c r="C5" s="40"/>
      <c r="D5" s="40"/>
      <c r="E5" s="40"/>
      <c r="F5" s="40"/>
      <c r="G5" s="40"/>
      <c r="H5" s="40"/>
      <c r="I5" s="40"/>
      <c r="J5" s="40"/>
      <c r="K5" s="40"/>
      <c r="L5" s="41"/>
    </row>
    <row r="6" spans="1:13" x14ac:dyDescent="0.35">
      <c r="B6" s="36" t="s">
        <v>30</v>
      </c>
      <c r="C6" s="36"/>
      <c r="D6" s="36"/>
      <c r="E6" s="2"/>
      <c r="F6" s="36" t="s">
        <v>31</v>
      </c>
      <c r="G6" s="36"/>
      <c r="H6" s="36"/>
      <c r="I6" s="2"/>
      <c r="J6" s="36" t="s">
        <v>32</v>
      </c>
      <c r="K6" s="36"/>
      <c r="L6" s="36"/>
    </row>
    <row r="7" spans="1:13" ht="16" thickBot="1" x14ac:dyDescent="0.4">
      <c r="B7" s="11">
        <v>6089000000</v>
      </c>
      <c r="C7" s="30" t="s">
        <v>0</v>
      </c>
      <c r="D7" s="46">
        <f>B7/B8</f>
        <v>1.3744920993227991</v>
      </c>
      <c r="E7" s="1"/>
      <c r="F7" s="11">
        <v>5853000000</v>
      </c>
      <c r="G7" s="30" t="s">
        <v>0</v>
      </c>
      <c r="H7" s="46">
        <f>F7/F8</f>
        <v>1.2040732359596791</v>
      </c>
      <c r="I7" s="1"/>
      <c r="J7" s="11">
        <v>6758000000</v>
      </c>
      <c r="K7" s="45"/>
      <c r="L7" s="46">
        <f>J7/J8</f>
        <v>1.2477843426883308</v>
      </c>
    </row>
    <row r="8" spans="1:13" x14ac:dyDescent="0.35">
      <c r="B8" s="12">
        <v>4430000000</v>
      </c>
      <c r="C8" s="30"/>
      <c r="D8" s="47"/>
      <c r="E8" s="1"/>
      <c r="F8" s="12">
        <v>4861000000</v>
      </c>
      <c r="G8" s="30"/>
      <c r="H8" s="47"/>
      <c r="I8" s="1"/>
      <c r="J8" s="12">
        <v>5416000000</v>
      </c>
      <c r="K8" s="45"/>
      <c r="L8" s="47"/>
    </row>
    <row r="9" spans="1:13" x14ac:dyDescent="0.35">
      <c r="B9" s="29" t="s">
        <v>24</v>
      </c>
      <c r="C9" s="29"/>
      <c r="D9" s="29"/>
      <c r="E9" s="1"/>
      <c r="F9" s="29" t="s">
        <v>25</v>
      </c>
      <c r="G9" s="29"/>
      <c r="H9" s="29"/>
      <c r="I9" s="1"/>
      <c r="J9" s="29" t="s">
        <v>26</v>
      </c>
      <c r="K9" s="29"/>
      <c r="L9" s="29"/>
    </row>
    <row r="10" spans="1:13" ht="16" thickBot="1" x14ac:dyDescent="0.4">
      <c r="B10" s="11">
        <v>3410000000</v>
      </c>
      <c r="C10" s="30" t="s">
        <v>0</v>
      </c>
      <c r="D10" s="46">
        <f>B10/B11</f>
        <v>1.3055130168453293</v>
      </c>
      <c r="E10" s="1"/>
      <c r="F10" s="11">
        <v>3736000000</v>
      </c>
      <c r="G10" s="30" t="s">
        <v>0</v>
      </c>
      <c r="H10" s="46">
        <f>F10/F11</f>
        <v>1.1993579454253611</v>
      </c>
      <c r="I10" s="1"/>
      <c r="J10" s="11">
        <v>5023000000</v>
      </c>
      <c r="K10" s="30" t="s">
        <v>0</v>
      </c>
      <c r="L10" s="46">
        <f>J10/J11</f>
        <v>1.5286062081558125</v>
      </c>
    </row>
    <row r="11" spans="1:13" x14ac:dyDescent="0.35">
      <c r="B11" s="12">
        <v>2612000000</v>
      </c>
      <c r="C11" s="30"/>
      <c r="D11" s="47"/>
      <c r="E11" s="1"/>
      <c r="F11" s="12">
        <v>3115000000</v>
      </c>
      <c r="G11" s="30"/>
      <c r="H11" s="47"/>
      <c r="I11" s="1"/>
      <c r="J11" s="12">
        <v>3286000000</v>
      </c>
      <c r="K11" s="30"/>
      <c r="L11" s="47"/>
    </row>
    <row r="13" spans="1:13" x14ac:dyDescent="0.35">
      <c r="B13" s="33" t="s">
        <v>7</v>
      </c>
      <c r="C13" s="34"/>
      <c r="D13" s="34"/>
      <c r="E13" s="34"/>
      <c r="F13" s="34"/>
      <c r="G13" s="34"/>
      <c r="H13" s="34"/>
      <c r="I13" s="34"/>
      <c r="J13" s="34"/>
      <c r="K13" s="34"/>
      <c r="L13" s="35"/>
      <c r="M13" s="1"/>
    </row>
    <row r="14" spans="1:13" x14ac:dyDescent="0.35">
      <c r="B14" s="36" t="s">
        <v>30</v>
      </c>
      <c r="C14" s="36"/>
      <c r="D14" s="36"/>
      <c r="E14" s="2"/>
      <c r="F14" s="36" t="s">
        <v>31</v>
      </c>
      <c r="G14" s="36"/>
      <c r="H14" s="36"/>
      <c r="I14" s="2"/>
      <c r="J14" s="36" t="s">
        <v>32</v>
      </c>
      <c r="K14" s="36"/>
      <c r="L14" s="36"/>
    </row>
    <row r="15" spans="1:13" ht="16" thickBot="1" x14ac:dyDescent="0.4">
      <c r="B15" s="11">
        <f>23092-14143</f>
        <v>8949</v>
      </c>
      <c r="C15" s="45" t="s">
        <v>0</v>
      </c>
      <c r="D15" s="31">
        <f>B15/B16</f>
        <v>0.38753680928460071</v>
      </c>
      <c r="E15" s="1"/>
      <c r="F15" s="11">
        <f>24442-15306</f>
        <v>9136</v>
      </c>
      <c r="G15" s="45" t="s">
        <v>0</v>
      </c>
      <c r="H15" s="31">
        <f>F15/F16</f>
        <v>0.37378283282873742</v>
      </c>
      <c r="I15" s="1"/>
      <c r="J15" s="11">
        <f>24460-14956</f>
        <v>9504</v>
      </c>
      <c r="K15" s="45" t="s">
        <v>0</v>
      </c>
      <c r="L15" s="31">
        <f>J15/J16</f>
        <v>0.38855273916598526</v>
      </c>
    </row>
    <row r="16" spans="1:13" x14ac:dyDescent="0.35">
      <c r="B16" s="12">
        <v>23092</v>
      </c>
      <c r="C16" s="45"/>
      <c r="D16" s="32"/>
      <c r="E16" s="1"/>
      <c r="F16" s="12">
        <v>24442</v>
      </c>
      <c r="G16" s="45"/>
      <c r="H16" s="32"/>
      <c r="I16" s="1"/>
      <c r="J16" s="12">
        <v>24460</v>
      </c>
      <c r="K16" s="45"/>
      <c r="L16" s="32"/>
    </row>
    <row r="17" spans="2:12" x14ac:dyDescent="0.35">
      <c r="B17" s="29" t="s">
        <v>24</v>
      </c>
      <c r="C17" s="29"/>
      <c r="D17" s="29"/>
      <c r="E17" s="1"/>
      <c r="F17" s="29" t="s">
        <v>25</v>
      </c>
      <c r="G17" s="29"/>
      <c r="H17" s="29"/>
      <c r="I17" s="1"/>
      <c r="J17" s="29" t="s">
        <v>26</v>
      </c>
      <c r="K17" s="29"/>
      <c r="L17" s="29"/>
    </row>
    <row r="18" spans="2:12" ht="16" thickBot="1" x14ac:dyDescent="0.4">
      <c r="B18" s="5">
        <f>16586-10498</f>
        <v>6088</v>
      </c>
      <c r="C18" s="45" t="s">
        <v>0</v>
      </c>
      <c r="D18" s="31">
        <f>B18/B19</f>
        <v>0.36705655372000484</v>
      </c>
      <c r="E18" s="1"/>
      <c r="F18" s="5">
        <f>17161-11457</f>
        <v>5704</v>
      </c>
      <c r="G18" s="45" t="s">
        <v>0</v>
      </c>
      <c r="H18" s="31">
        <f>F18/F19</f>
        <v>0.33238156284598802</v>
      </c>
      <c r="I18" s="1"/>
      <c r="J18" s="5">
        <f>18471-11437</f>
        <v>7034</v>
      </c>
      <c r="K18" s="45" t="s">
        <v>0</v>
      </c>
      <c r="L18" s="31">
        <f>J18/J19</f>
        <v>0.38081316658545827</v>
      </c>
    </row>
    <row r="19" spans="2:12" x14ac:dyDescent="0.35">
      <c r="B19" s="6">
        <v>16586</v>
      </c>
      <c r="C19" s="45"/>
      <c r="D19" s="32"/>
      <c r="E19" s="1"/>
      <c r="F19" s="6">
        <v>17161</v>
      </c>
      <c r="G19" s="45"/>
      <c r="H19" s="32"/>
      <c r="I19" s="1"/>
      <c r="J19" s="6">
        <v>18471</v>
      </c>
      <c r="K19" s="45"/>
      <c r="L19" s="32"/>
    </row>
    <row r="21" spans="2:12" x14ac:dyDescent="0.35">
      <c r="B21" s="33" t="s">
        <v>1</v>
      </c>
      <c r="C21" s="40"/>
      <c r="D21" s="40"/>
      <c r="E21" s="40"/>
      <c r="F21" s="40"/>
      <c r="G21" s="40"/>
      <c r="H21" s="40"/>
      <c r="I21" s="40"/>
      <c r="J21" s="40"/>
      <c r="K21" s="40"/>
      <c r="L21" s="41"/>
    </row>
    <row r="22" spans="2:12" x14ac:dyDescent="0.35">
      <c r="B22" s="36">
        <v>2023</v>
      </c>
      <c r="C22" s="36"/>
      <c r="D22" s="36"/>
      <c r="E22" s="2"/>
      <c r="F22" s="36">
        <v>2022</v>
      </c>
      <c r="G22" s="36"/>
      <c r="H22" s="36"/>
      <c r="I22" s="2"/>
      <c r="J22" s="36">
        <v>2021</v>
      </c>
      <c r="K22" s="36"/>
      <c r="L22" s="36"/>
    </row>
    <row r="23" spans="2:12" x14ac:dyDescent="0.35">
      <c r="B23" s="42" t="s">
        <v>34</v>
      </c>
      <c r="C23" s="43"/>
      <c r="D23" s="44"/>
      <c r="F23" s="42" t="s">
        <v>34</v>
      </c>
      <c r="G23" s="43"/>
      <c r="H23" s="44"/>
      <c r="J23" s="42" t="s">
        <v>35</v>
      </c>
      <c r="K23" s="43"/>
      <c r="L23" s="44"/>
    </row>
    <row r="25" spans="2:12" x14ac:dyDescent="0.35">
      <c r="B25" s="33" t="s">
        <v>2</v>
      </c>
      <c r="C25" s="34"/>
      <c r="D25" s="34"/>
      <c r="E25" s="34"/>
      <c r="F25" s="34"/>
      <c r="G25" s="34"/>
      <c r="H25" s="34"/>
      <c r="I25" s="34"/>
      <c r="J25" s="34"/>
      <c r="K25" s="34"/>
      <c r="L25" s="35"/>
    </row>
    <row r="26" spans="2:12" x14ac:dyDescent="0.35">
      <c r="B26" s="4" t="s">
        <v>17</v>
      </c>
      <c r="C26" s="39" t="s">
        <v>3</v>
      </c>
      <c r="D26" s="39"/>
      <c r="E26" s="39"/>
      <c r="F26" s="39"/>
      <c r="G26" s="39"/>
      <c r="H26" s="39"/>
      <c r="I26" s="39"/>
      <c r="J26" s="39"/>
      <c r="K26" s="39"/>
      <c r="L26" s="39"/>
    </row>
    <row r="27" spans="2:12" x14ac:dyDescent="0.35">
      <c r="B27" s="4" t="s">
        <v>4</v>
      </c>
      <c r="C27" s="14" t="s">
        <v>5</v>
      </c>
      <c r="D27" s="14"/>
      <c r="E27" s="14"/>
      <c r="F27" s="14"/>
      <c r="G27" s="14"/>
      <c r="H27" s="14"/>
      <c r="I27" s="14"/>
      <c r="J27" s="14"/>
      <c r="K27" s="14"/>
      <c r="L27" s="14"/>
    </row>
    <row r="29" spans="2:12" x14ac:dyDescent="0.35">
      <c r="B29" s="33" t="s">
        <v>6</v>
      </c>
      <c r="C29" s="34"/>
      <c r="D29" s="34"/>
      <c r="E29" s="34"/>
      <c r="F29" s="34"/>
      <c r="G29" s="34"/>
      <c r="H29" s="34"/>
      <c r="I29" s="34"/>
      <c r="J29" s="34"/>
      <c r="K29" s="34"/>
      <c r="L29" s="35"/>
    </row>
    <row r="30" spans="2:12" x14ac:dyDescent="0.35">
      <c r="B30" s="36" t="s">
        <v>30</v>
      </c>
      <c r="C30" s="36"/>
      <c r="D30" s="36"/>
      <c r="E30" s="2"/>
    </row>
    <row r="31" spans="2:12" ht="16" thickBot="1" x14ac:dyDescent="0.4">
      <c r="B31" s="7">
        <f>23092-24442</f>
        <v>-1350</v>
      </c>
      <c r="C31" s="30" t="s">
        <v>0</v>
      </c>
      <c r="D31" s="37">
        <f>B31/B32</f>
        <v>-5.5232796006873412E-2</v>
      </c>
      <c r="E31" s="1"/>
    </row>
    <row r="32" spans="2:12" x14ac:dyDescent="0.35">
      <c r="B32" s="8">
        <v>24442</v>
      </c>
      <c r="C32" s="30"/>
      <c r="D32" s="38"/>
      <c r="E32" s="1"/>
    </row>
    <row r="33" spans="2:12" x14ac:dyDescent="0.35">
      <c r="B33" s="29" t="s">
        <v>24</v>
      </c>
      <c r="C33" s="29"/>
      <c r="D33" s="29"/>
      <c r="E33" s="1"/>
    </row>
    <row r="34" spans="2:12" ht="16" thickBot="1" x14ac:dyDescent="0.4">
      <c r="B34" s="7">
        <f>16586-17161</f>
        <v>-575</v>
      </c>
      <c r="C34" s="30" t="s">
        <v>0</v>
      </c>
      <c r="D34" s="37">
        <f>B34/B35</f>
        <v>-3.3506205932055243E-2</v>
      </c>
      <c r="E34" s="1"/>
    </row>
    <row r="35" spans="2:12" x14ac:dyDescent="0.35">
      <c r="B35" s="8">
        <v>17161</v>
      </c>
      <c r="C35" s="30"/>
      <c r="D35" s="38"/>
      <c r="E35" s="1"/>
    </row>
    <row r="37" spans="2:12" x14ac:dyDescent="0.35">
      <c r="B37" s="33" t="s">
        <v>8</v>
      </c>
      <c r="C37" s="34"/>
      <c r="D37" s="34"/>
      <c r="E37" s="34"/>
      <c r="F37" s="34"/>
      <c r="G37" s="34"/>
      <c r="H37" s="34"/>
      <c r="I37" s="34"/>
      <c r="J37" s="34"/>
      <c r="K37" s="34"/>
      <c r="L37" s="35"/>
    </row>
    <row r="38" spans="2:12" x14ac:dyDescent="0.35">
      <c r="B38" s="36" t="s">
        <v>21</v>
      </c>
      <c r="C38" s="36"/>
      <c r="D38" s="36"/>
      <c r="E38" s="2"/>
    </row>
    <row r="39" spans="2:12" ht="16" thickBot="1" x14ac:dyDescent="0.4">
      <c r="B39" s="7">
        <f>B15-F15</f>
        <v>-187</v>
      </c>
      <c r="C39" s="30" t="s">
        <v>0</v>
      </c>
      <c r="D39" s="37">
        <f>B39/B40</f>
        <v>-2.0468476357267951E-2</v>
      </c>
      <c r="E39" s="1"/>
    </row>
    <row r="40" spans="2:12" x14ac:dyDescent="0.35">
      <c r="B40" s="8">
        <f>F15</f>
        <v>9136</v>
      </c>
      <c r="C40" s="30"/>
      <c r="D40" s="38"/>
      <c r="E40" s="1"/>
    </row>
    <row r="41" spans="2:12" x14ac:dyDescent="0.35">
      <c r="B41" s="29" t="s">
        <v>24</v>
      </c>
      <c r="C41" s="29"/>
      <c r="D41" s="29"/>
      <c r="E41" s="1"/>
    </row>
    <row r="42" spans="2:12" ht="16" thickBot="1" x14ac:dyDescent="0.4">
      <c r="B42" s="7">
        <f>B18-F18</f>
        <v>384</v>
      </c>
      <c r="C42" s="30" t="s">
        <v>0</v>
      </c>
      <c r="D42" s="37">
        <f>B42/B43</f>
        <v>6.7321178120617109E-2</v>
      </c>
      <c r="E42" s="1"/>
    </row>
    <row r="43" spans="2:12" x14ac:dyDescent="0.35">
      <c r="B43" s="8">
        <f>F18</f>
        <v>5704</v>
      </c>
      <c r="C43" s="30"/>
      <c r="D43" s="38"/>
      <c r="E43" s="1"/>
    </row>
    <row r="45" spans="2:12" x14ac:dyDescent="0.35">
      <c r="B45" s="33" t="s">
        <v>9</v>
      </c>
      <c r="C45" s="34"/>
      <c r="D45" s="34"/>
      <c r="E45" s="34"/>
      <c r="F45" s="34"/>
      <c r="G45" s="34"/>
      <c r="H45" s="34"/>
      <c r="I45" s="34"/>
      <c r="J45" s="34"/>
      <c r="K45" s="34"/>
      <c r="L45" s="35"/>
    </row>
    <row r="46" spans="2:12" x14ac:dyDescent="0.35">
      <c r="B46" s="36" t="s">
        <v>30</v>
      </c>
      <c r="C46" s="36"/>
      <c r="D46" s="36"/>
      <c r="E46" s="2"/>
    </row>
    <row r="47" spans="2:12" ht="16" thickBot="1" x14ac:dyDescent="0.4">
      <c r="B47" s="5">
        <f>105-1177</f>
        <v>-1072</v>
      </c>
      <c r="C47" s="30" t="s">
        <v>0</v>
      </c>
      <c r="D47" s="31">
        <f>B47/B48</f>
        <v>-0.91079014443500428</v>
      </c>
      <c r="E47" s="1"/>
    </row>
    <row r="48" spans="2:12" x14ac:dyDescent="0.35">
      <c r="B48" s="6">
        <v>1177</v>
      </c>
      <c r="C48" s="30"/>
      <c r="D48" s="32"/>
      <c r="E48" s="1"/>
    </row>
    <row r="49" spans="2:12" x14ac:dyDescent="0.35">
      <c r="B49" s="29" t="s">
        <v>24</v>
      </c>
      <c r="C49" s="29"/>
      <c r="D49" s="29"/>
      <c r="E49" s="1"/>
    </row>
    <row r="50" spans="2:12" ht="16" thickBot="1" x14ac:dyDescent="0.4">
      <c r="B50" s="5">
        <f>317-(-19)</f>
        <v>336</v>
      </c>
      <c r="C50" s="30" t="s">
        <v>0</v>
      </c>
      <c r="D50" s="31">
        <f>B50/B51</f>
        <v>17.684210526315791</v>
      </c>
      <c r="E50" s="1"/>
    </row>
    <row r="51" spans="2:12" x14ac:dyDescent="0.35">
      <c r="B51" s="9">
        <f>ABS(-19)</f>
        <v>19</v>
      </c>
      <c r="C51" s="30"/>
      <c r="D51" s="32"/>
      <c r="E51" s="1"/>
    </row>
    <row r="61" spans="2:12" ht="15.9" customHeight="1" x14ac:dyDescent="0.35">
      <c r="B61" s="17" t="s">
        <v>29</v>
      </c>
      <c r="C61" s="18"/>
      <c r="D61" s="18"/>
      <c r="E61" s="18"/>
      <c r="F61" s="18"/>
      <c r="G61" s="18"/>
      <c r="H61" s="18"/>
      <c r="I61" s="18"/>
      <c r="J61" s="18"/>
      <c r="K61" s="18"/>
      <c r="L61" s="19"/>
    </row>
    <row r="62" spans="2:12" x14ac:dyDescent="0.35">
      <c r="B62" s="20"/>
      <c r="C62" s="21"/>
      <c r="D62" s="21"/>
      <c r="E62" s="21"/>
      <c r="F62" s="21"/>
      <c r="G62" s="21"/>
      <c r="H62" s="21"/>
      <c r="I62" s="21"/>
      <c r="J62" s="21"/>
      <c r="K62" s="21"/>
      <c r="L62" s="22"/>
    </row>
    <row r="120" spans="2:12" ht="15.9" customHeight="1" x14ac:dyDescent="0.35">
      <c r="B120" s="17" t="s">
        <v>19</v>
      </c>
      <c r="C120" s="18"/>
      <c r="D120" s="18"/>
      <c r="E120" s="18"/>
      <c r="F120" s="18"/>
      <c r="G120" s="18"/>
      <c r="H120" s="18"/>
      <c r="I120" s="18"/>
      <c r="J120" s="18"/>
      <c r="K120" s="18"/>
      <c r="L120" s="19"/>
    </row>
    <row r="121" spans="2:12" x14ac:dyDescent="0.35">
      <c r="B121" s="26"/>
      <c r="C121" s="27"/>
      <c r="D121" s="27"/>
      <c r="E121" s="27"/>
      <c r="F121" s="27"/>
      <c r="G121" s="27"/>
      <c r="H121" s="27"/>
      <c r="I121" s="27"/>
      <c r="J121" s="27"/>
      <c r="K121" s="27"/>
      <c r="L121" s="28"/>
    </row>
    <row r="122" spans="2:12" x14ac:dyDescent="0.35">
      <c r="B122" s="20"/>
      <c r="C122" s="21"/>
      <c r="D122" s="21"/>
      <c r="E122" s="21"/>
      <c r="F122" s="21"/>
      <c r="G122" s="21"/>
      <c r="H122" s="21"/>
      <c r="I122" s="21"/>
      <c r="J122" s="21"/>
      <c r="K122" s="21"/>
      <c r="L122" s="22"/>
    </row>
    <row r="124" spans="2:12" x14ac:dyDescent="0.35">
      <c r="B124" s="24" t="s">
        <v>22</v>
      </c>
      <c r="C124" s="24"/>
      <c r="D124" s="24"/>
      <c r="E124" s="24"/>
      <c r="F124" s="24"/>
      <c r="G124" s="3" t="s">
        <v>0</v>
      </c>
      <c r="H124" s="25">
        <v>993000000</v>
      </c>
      <c r="I124" s="25"/>
      <c r="J124" s="25"/>
      <c r="K124" s="25"/>
      <c r="L124" s="25"/>
    </row>
    <row r="125" spans="2:12" x14ac:dyDescent="0.35">
      <c r="B125" s="24" t="s">
        <v>23</v>
      </c>
      <c r="C125" s="24"/>
      <c r="D125" s="24"/>
      <c r="E125" s="24"/>
      <c r="F125" s="24"/>
      <c r="G125" s="3" t="s">
        <v>0</v>
      </c>
      <c r="H125" s="25">
        <v>577000000</v>
      </c>
      <c r="I125" s="25"/>
      <c r="J125" s="25"/>
      <c r="K125" s="25"/>
      <c r="L125" s="25"/>
    </row>
    <row r="156" spans="2:12" ht="15.9" customHeight="1" x14ac:dyDescent="0.35">
      <c r="B156" s="17" t="s">
        <v>20</v>
      </c>
      <c r="C156" s="18"/>
      <c r="D156" s="18"/>
      <c r="E156" s="18"/>
      <c r="F156" s="18"/>
      <c r="G156" s="18"/>
      <c r="H156" s="18"/>
      <c r="I156" s="18"/>
      <c r="J156" s="18"/>
      <c r="K156" s="18"/>
      <c r="L156" s="19"/>
    </row>
    <row r="157" spans="2:12" x14ac:dyDescent="0.35">
      <c r="B157" s="20"/>
      <c r="C157" s="21"/>
      <c r="D157" s="21"/>
      <c r="E157" s="21"/>
      <c r="F157" s="21"/>
      <c r="G157" s="21"/>
      <c r="H157" s="21"/>
      <c r="I157" s="21"/>
      <c r="J157" s="21"/>
      <c r="K157" s="21"/>
      <c r="L157" s="22"/>
    </row>
    <row r="158" spans="2:12" x14ac:dyDescent="0.35">
      <c r="F158" s="23" t="s">
        <v>28</v>
      </c>
      <c r="G158" s="23"/>
      <c r="H158" s="23"/>
      <c r="J158" s="23" t="s">
        <v>27</v>
      </c>
      <c r="K158" s="23"/>
      <c r="L158" s="23"/>
    </row>
    <row r="159" spans="2:12" x14ac:dyDescent="0.35">
      <c r="B159" s="14" t="s">
        <v>11</v>
      </c>
      <c r="C159" s="14"/>
      <c r="D159" s="14"/>
      <c r="F159" s="16">
        <v>6268000000</v>
      </c>
      <c r="G159" s="16"/>
      <c r="H159" s="16"/>
      <c r="J159" s="16">
        <v>13995000000</v>
      </c>
      <c r="K159" s="16"/>
      <c r="L159" s="16"/>
    </row>
    <row r="160" spans="2:12" x14ac:dyDescent="0.35">
      <c r="B160" s="14" t="s">
        <v>12</v>
      </c>
      <c r="C160" s="14"/>
      <c r="D160" s="14"/>
      <c r="F160" s="16">
        <v>105000000</v>
      </c>
      <c r="G160" s="16"/>
      <c r="H160" s="16"/>
      <c r="J160" s="16">
        <v>317000000</v>
      </c>
      <c r="K160" s="16"/>
      <c r="L160" s="16"/>
    </row>
    <row r="161" spans="2:12" x14ac:dyDescent="0.35">
      <c r="B161" s="14" t="s">
        <v>13</v>
      </c>
      <c r="C161" s="14"/>
      <c r="D161" s="14"/>
      <c r="F161" s="16">
        <v>-183000000</v>
      </c>
      <c r="G161" s="16"/>
      <c r="H161" s="16"/>
      <c r="J161" s="16">
        <v>-223000000</v>
      </c>
      <c r="K161" s="16"/>
      <c r="L161" s="16"/>
    </row>
    <row r="162" spans="2:12" ht="16" thickBot="1" x14ac:dyDescent="0.4">
      <c r="B162" s="13" t="s">
        <v>18</v>
      </c>
      <c r="C162" s="14"/>
      <c r="D162" s="14"/>
      <c r="F162" s="15"/>
      <c r="G162" s="15"/>
      <c r="H162" s="15"/>
      <c r="J162" s="15">
        <v>-11155000000</v>
      </c>
      <c r="K162" s="15"/>
      <c r="L162" s="15"/>
    </row>
    <row r="163" spans="2:12" x14ac:dyDescent="0.35">
      <c r="B163" s="14" t="s">
        <v>14</v>
      </c>
      <c r="C163" s="14"/>
      <c r="D163" s="14"/>
      <c r="F163" s="16">
        <f>SUM(F159:H162)</f>
        <v>6190000000</v>
      </c>
      <c r="G163" s="16"/>
      <c r="H163" s="16"/>
      <c r="J163" s="16">
        <f>SUM(J159:L162)</f>
        <v>2934000000</v>
      </c>
      <c r="K163" s="16"/>
      <c r="L163" s="16"/>
    </row>
  </sheetData>
  <mergeCells count="94">
    <mergeCell ref="B3:L3"/>
    <mergeCell ref="B5:L5"/>
    <mergeCell ref="B6:D6"/>
    <mergeCell ref="F6:H6"/>
    <mergeCell ref="J6:L6"/>
    <mergeCell ref="L7:L8"/>
    <mergeCell ref="B9:D9"/>
    <mergeCell ref="F9:H9"/>
    <mergeCell ref="J9:L9"/>
    <mergeCell ref="C10:C11"/>
    <mergeCell ref="D10:D11"/>
    <mergeCell ref="G10:G11"/>
    <mergeCell ref="H10:H11"/>
    <mergeCell ref="K10:K11"/>
    <mergeCell ref="L10:L11"/>
    <mergeCell ref="C7:C8"/>
    <mergeCell ref="D7:D8"/>
    <mergeCell ref="G7:G8"/>
    <mergeCell ref="H7:H8"/>
    <mergeCell ref="K7:K8"/>
    <mergeCell ref="B13:L13"/>
    <mergeCell ref="B14:D14"/>
    <mergeCell ref="F14:H14"/>
    <mergeCell ref="J14:L14"/>
    <mergeCell ref="C15:C16"/>
    <mergeCell ref="D15:D16"/>
    <mergeCell ref="G15:G16"/>
    <mergeCell ref="H15:H16"/>
    <mergeCell ref="K15:K16"/>
    <mergeCell ref="L15:L16"/>
    <mergeCell ref="B17:D17"/>
    <mergeCell ref="F17:H17"/>
    <mergeCell ref="J17:L17"/>
    <mergeCell ref="C18:C19"/>
    <mergeCell ref="D18:D19"/>
    <mergeCell ref="G18:G19"/>
    <mergeCell ref="H18:H19"/>
    <mergeCell ref="K18:K19"/>
    <mergeCell ref="L18:L19"/>
    <mergeCell ref="B21:L21"/>
    <mergeCell ref="B22:D22"/>
    <mergeCell ref="F22:H22"/>
    <mergeCell ref="J22:L22"/>
    <mergeCell ref="B23:D23"/>
    <mergeCell ref="F23:H23"/>
    <mergeCell ref="J23:L23"/>
    <mergeCell ref="B25:L25"/>
    <mergeCell ref="C26:L26"/>
    <mergeCell ref="C27:L27"/>
    <mergeCell ref="B29:L29"/>
    <mergeCell ref="B30:D30"/>
    <mergeCell ref="B33:D33"/>
    <mergeCell ref="C34:C35"/>
    <mergeCell ref="D34:D35"/>
    <mergeCell ref="C31:C32"/>
    <mergeCell ref="D31:D32"/>
    <mergeCell ref="B41:D41"/>
    <mergeCell ref="C42:C43"/>
    <mergeCell ref="D42:D43"/>
    <mergeCell ref="B37:L37"/>
    <mergeCell ref="B38:D38"/>
    <mergeCell ref="C39:C40"/>
    <mergeCell ref="D39:D40"/>
    <mergeCell ref="B49:D49"/>
    <mergeCell ref="C50:C51"/>
    <mergeCell ref="D50:D51"/>
    <mergeCell ref="B45:L45"/>
    <mergeCell ref="B46:D46"/>
    <mergeCell ref="C47:C48"/>
    <mergeCell ref="D47:D48"/>
    <mergeCell ref="B61:L62"/>
    <mergeCell ref="B124:F124"/>
    <mergeCell ref="H124:L124"/>
    <mergeCell ref="B125:F125"/>
    <mergeCell ref="H125:L125"/>
    <mergeCell ref="B120:L122"/>
    <mergeCell ref="B156:L157"/>
    <mergeCell ref="F158:H158"/>
    <mergeCell ref="J158:L158"/>
    <mergeCell ref="B159:D159"/>
    <mergeCell ref="F159:H159"/>
    <mergeCell ref="J159:L159"/>
    <mergeCell ref="B160:D160"/>
    <mergeCell ref="F160:H160"/>
    <mergeCell ref="J160:L160"/>
    <mergeCell ref="B161:D161"/>
    <mergeCell ref="F161:H161"/>
    <mergeCell ref="J161:L161"/>
    <mergeCell ref="B162:D162"/>
    <mergeCell ref="F162:H162"/>
    <mergeCell ref="J162:L162"/>
    <mergeCell ref="B163:D163"/>
    <mergeCell ref="F163:H163"/>
    <mergeCell ref="J163:L163"/>
  </mergeCells>
  <pageMargins left="0.7" right="0.7" top="0.75" bottom="0.75" header="0.3" footer="0.3"/>
  <pageSetup scale="64" fitToHeight="4"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FRP #2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Sokol</dc:creator>
  <cp:lastModifiedBy>Samarth Naik</cp:lastModifiedBy>
  <cp:lastPrinted>2024-10-02T16:57:33Z</cp:lastPrinted>
  <dcterms:created xsi:type="dcterms:W3CDTF">2019-11-10T20:57:44Z</dcterms:created>
  <dcterms:modified xsi:type="dcterms:W3CDTF">2025-04-02T03:57:16Z</dcterms:modified>
</cp:coreProperties>
</file>